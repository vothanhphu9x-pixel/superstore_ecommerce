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880" yWindow="28800" windowWidth="27880" windowHeight="25600" tabRatio="500" firstSheet="0" activeTab="0" autoFilterDateGrouping="1"/>
  </bookViews>
  <sheets>
    <sheet xmlns:r="http://schemas.openxmlformats.org/officeDocument/2006/relationships" name="📋 Hướng Dẫn" sheetId="1" state="visible" r:id="rId1"/>
    <sheet xmlns:r="http://schemas.openxmlformats.org/officeDocument/2006/relationships" name="🗺️ Tra Cứu Ký Hiệu" sheetId="2" state="visible" r:id="rId2"/>
    <sheet xmlns:r="http://schemas.openxmlformats.org/officeDocument/2006/relationships" name="1️⃣ Stakeholder Map" sheetId="3" state="visible" r:id="rId3"/>
    <sheet xmlns:r="http://schemas.openxmlformats.org/officeDocument/2006/relationships" name="2️⃣ BRD Trace" sheetId="4" state="visible" r:id="rId4"/>
    <sheet xmlns:r="http://schemas.openxmlformats.org/officeDocument/2006/relationships" name="❔ Question Registry" sheetId="5" state="visible" r:id="rId5"/>
    <sheet xmlns:r="http://schemas.openxmlformats.org/officeDocument/2006/relationships" name="📊 Analysis Log" sheetId="6" state="visible" r:id="rId6"/>
    <sheet xmlns:r="http://schemas.openxmlformats.org/officeDocument/2006/relationships" name="4️⃣ Dashboard Blueprint" sheetId="7" state="visible" r:id="rId7"/>
    <sheet xmlns:r="http://schemas.openxmlformats.org/officeDocument/2006/relationships" name="6️⃣ Data Source Map" sheetId="8" state="visible" r:id="rId8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4">
    <font>
      <name val="Calibri"/>
      <charset val="1"/>
      <family val="2"/>
      <color theme="1"/>
      <sz val="11"/>
    </font>
    <font>
      <name val="Calibri"/>
      <charset val="1"/>
      <family val="2"/>
      <b val="1"/>
      <color rgb="FFFFFFFF"/>
      <sz val="13"/>
    </font>
    <font>
      <name val="Calibri"/>
      <charset val="1"/>
      <family val="2"/>
      <i val="1"/>
      <color rgb="FFFFFFFF"/>
      <sz val="9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F3864"/>
      <sz val="10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color rgb="FF000000"/>
      <sz val="9"/>
    </font>
    <font>
      <name val="Calibri"/>
      <charset val="1"/>
      <family val="2"/>
      <i val="1"/>
      <color rgb="FF000000"/>
      <sz val="9"/>
    </font>
    <font>
      <name val="Arial"/>
      <charset val="1"/>
      <family val="2"/>
      <b val="1"/>
      <color rgb="FFFFFFFF"/>
      <sz val="15"/>
    </font>
    <font>
      <name val="Arial"/>
      <charset val="1"/>
      <family val="2"/>
      <i val="1"/>
      <color rgb="FF5F5E5A"/>
      <sz val="10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0A5F5F"/>
      <sz val="10"/>
    </font>
    <font>
      <name val="Arial"/>
      <charset val="1"/>
      <family val="2"/>
      <i val="1"/>
      <color rgb="FF0F3460"/>
      <sz val="10"/>
    </font>
    <font>
      <name val="Arial"/>
      <charset val="1"/>
      <family val="2"/>
      <color rgb="FF1A1A18"/>
      <sz val="10"/>
    </font>
    <font>
      <name val="Arial"/>
      <charset val="1"/>
      <family val="2"/>
      <b val="1"/>
      <color rgb="FF72243E"/>
      <sz val="10"/>
    </font>
    <font>
      <name val="Arial"/>
      <charset val="1"/>
      <family val="2"/>
      <b val="1"/>
      <color rgb="FF856F0A"/>
      <sz val="10"/>
    </font>
    <font>
      <name val="Arial"/>
      <charset val="1"/>
      <family val="2"/>
      <b val="1"/>
      <color rgb="FF0F3460"/>
      <sz val="10"/>
    </font>
    <font>
      <name val="Arial"/>
      <charset val="1"/>
      <family val="2"/>
      <i val="1"/>
      <color rgb="FF8A8880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i val="1"/>
      <color rgb="FF000000"/>
      <sz val="8"/>
    </font>
    <font>
      <name val="Calibri"/>
      <charset val="1"/>
      <family val="2"/>
      <b val="1"/>
      <color rgb="FF000000"/>
      <sz val="9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9"/>
    </font>
    <font>
      <name val="Calibri"/>
      <family val="2"/>
      <color rgb="FF000000"/>
      <sz val="11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1F3864"/>
      <sz val="9"/>
    </font>
    <font>
      <name val="Calibri"/>
      <color rgb="FF000000"/>
      <sz val="9"/>
    </font>
    <font>
      <name val="Calibri"/>
      <i val="1"/>
      <sz val="9"/>
    </font>
    <font>
      <name val="Calibri"/>
      <b val="1"/>
      <color rgb="FF1F3864"/>
      <sz val="11"/>
    </font>
    <font>
      <name val="Calibri"/>
      <b val="1"/>
      <sz val="9"/>
    </font>
  </fonts>
  <fills count="45">
    <fill>
      <patternFill/>
    </fill>
    <fill>
      <patternFill patternType="gray125"/>
    </fill>
    <fill>
      <patternFill patternType="solid">
        <fgColor rgb="FF1F3864"/>
        <bgColor rgb="FF0F3460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5D3CD"/>
      </patternFill>
    </fill>
    <fill>
      <patternFill patternType="solid">
        <fgColor rgb="FFDEEAF1"/>
        <bgColor rgb="FFE0E8F4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5F4F0"/>
      </patternFill>
    </fill>
    <fill>
      <patternFill patternType="solid">
        <fgColor rgb="FF595959"/>
        <bgColor rgb="FF5F5E5A"/>
      </patternFill>
    </fill>
    <fill>
      <patternFill patternType="solid">
        <fgColor rgb="FFFFCCCC"/>
        <bgColor rgb="FFFCE4D6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F5F4F0"/>
      </patternFill>
    </fill>
    <fill>
      <patternFill patternType="solid">
        <fgColor rgb="FFEAD1FF"/>
        <bgColor rgb="FFE0E8F4"/>
      </patternFill>
    </fill>
    <fill>
      <patternFill patternType="solid">
        <fgColor rgb="FF1A1A2E"/>
        <bgColor rgb="FF1A1A18"/>
      </patternFill>
    </fill>
    <fill>
      <patternFill patternType="solid">
        <fgColor rgb="FFF5F4F0"/>
        <bgColor rgb="FFF2F2F2"/>
      </patternFill>
    </fill>
    <fill>
      <patternFill patternType="solid">
        <fgColor rgb="FF0F6E56"/>
        <bgColor rgb="FF0A5F5F"/>
      </patternFill>
    </fill>
    <fill>
      <patternFill patternType="solid">
        <fgColor rgb="FF16213E"/>
        <bgColor rgb="FF1A1A2E"/>
      </patternFill>
    </fill>
    <fill>
      <patternFill patternType="solid">
        <fgColor rgb="FF72243E"/>
        <bgColor rgb="FF660066"/>
      </patternFill>
    </fill>
    <fill>
      <patternFill patternType="solid">
        <fgColor rgb="FFB8860B"/>
        <bgColor rgb="FFED7D31"/>
      </patternFill>
    </fill>
    <fill>
      <patternFill patternType="solid">
        <fgColor rgb="FF856F0A"/>
        <bgColor rgb="FFB8860B"/>
      </patternFill>
    </fill>
    <fill>
      <patternFill patternType="solid">
        <fgColor rgb="FF534AB7"/>
        <bgColor rgb="FF7030A0"/>
      </patternFill>
    </fill>
    <fill>
      <patternFill patternType="solid">
        <fgColor rgb="FF0F3460"/>
        <bgColor rgb="FF1F3864"/>
      </patternFill>
    </fill>
    <fill>
      <patternFill patternType="solid">
        <fgColor rgb="FFEEF2F8"/>
        <bgColor rgb="FFF2F2F2"/>
      </patternFill>
    </fill>
    <fill>
      <patternFill patternType="solid">
        <fgColor rgb="FFE0E8F4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00B0C8"/>
        <bgColor rgb="FF33CCCC"/>
      </patternFill>
    </fill>
    <fill>
      <patternFill patternType="solid">
        <fgColor rgb="FF70AD47"/>
        <bgColor rgb="FF8A8880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534AB7"/>
      </patternFill>
    </fill>
    <fill>
      <patternFill patternType="solid">
        <fgColor rgb="FFC00000"/>
        <bgColor rgb="FF800000"/>
      </patternFill>
    </fill>
    <fill>
      <patternFill patternType="solid">
        <fgColor theme="9" tint="0.7999816888943144"/>
        <bgColor rgb="FFD5D3CD"/>
      </patternFill>
    </fill>
    <fill>
      <patternFill patternType="solid">
        <fgColor theme="9" tint="0.7999816888943144"/>
        <bgColor rgb="FFDEEAF1"/>
      </patternFill>
    </fill>
    <fill>
      <patternFill patternType="solid">
        <fgColor theme="9" tint="0.7999816888943144"/>
        <bgColor rgb="FFE0E8F4"/>
      </patternFill>
    </fill>
    <fill>
      <patternFill patternType="solid">
        <fgColor theme="9" tint="0.7999816888943144"/>
        <bgColor rgb="FFFCE4D6"/>
      </patternFill>
    </fill>
    <fill>
      <patternFill patternType="solid">
        <fgColor theme="9" tint="0.7999816888943144"/>
        <bgColor rgb="FFFFF2CC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00FFCCCC"/>
        <bgColor rgb="00FFCCCC"/>
      </patternFill>
    </fill>
    <fill>
      <patternFill patternType="solid">
        <fgColor rgb="00FFF2CC"/>
        <bgColor rgb="00FFF2CC"/>
      </patternFill>
    </fill>
    <fill>
      <patternFill patternType="solid">
        <fgColor rgb="FFFFCCCC"/>
        <bgColor rgb="FFFFCCCC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5D3CD"/>
      </left>
      <right style="thin">
        <color rgb="FFD5D3CD"/>
      </right>
      <top style="thin">
        <color rgb="FFD5D3CD"/>
      </top>
      <bottom style="thin">
        <color rgb="FFD5D3CD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left" vertical="center"/>
    </xf>
    <xf numFmtId="0" fontId="15" fillId="7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/>
    </xf>
    <xf numFmtId="0" fontId="13" fillId="14" borderId="2" applyAlignment="1" pivotButton="0" quotePrefix="0" xfId="0">
      <alignment horizontal="left" vertical="center"/>
    </xf>
    <xf numFmtId="0" fontId="14" fillId="14" borderId="2" applyAlignment="1" pivotButton="0" quotePrefix="0" xfId="0">
      <alignment horizontal="left" vertical="center"/>
    </xf>
    <xf numFmtId="0" fontId="15" fillId="14" borderId="2" applyAlignment="1" pivotButton="0" quotePrefix="0" xfId="0">
      <alignment horizontal="left" vertical="center"/>
    </xf>
    <xf numFmtId="0" fontId="10" fillId="14" borderId="2" applyAlignment="1" pivotButton="0" quotePrefix="0" xfId="0">
      <alignment horizontal="left" vertical="center"/>
    </xf>
    <xf numFmtId="0" fontId="16" fillId="7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/>
    </xf>
    <xf numFmtId="0" fontId="12" fillId="19" borderId="2" applyAlignment="1" pivotButton="0" quotePrefix="0" xfId="0">
      <alignment horizontal="left" vertical="center"/>
    </xf>
    <xf numFmtId="0" fontId="17" fillId="7" borderId="2" applyAlignment="1" pivotButton="0" quotePrefix="0" xfId="0">
      <alignment horizontal="left" vertical="center"/>
    </xf>
    <xf numFmtId="0" fontId="17" fillId="14" borderId="2" applyAlignment="1" pivotButton="0" quotePrefix="0" xfId="0">
      <alignment horizontal="left" vertical="center"/>
    </xf>
    <xf numFmtId="0" fontId="18" fillId="7" borderId="2" applyAlignment="1" pivotButton="0" quotePrefix="0" xfId="0">
      <alignment horizontal="left" vertical="center"/>
    </xf>
    <xf numFmtId="0" fontId="18" fillId="14" borderId="2" applyAlignment="1" pivotButton="0" quotePrefix="0" xfId="0">
      <alignment horizontal="left" vertical="center"/>
    </xf>
    <xf numFmtId="0" fontId="12" fillId="21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24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3" fillId="25" borderId="1" applyAlignment="1" pivotButton="0" quotePrefix="0" xfId="0">
      <alignment horizontal="center" vertical="center" wrapText="1"/>
    </xf>
    <xf numFmtId="0" fontId="23" fillId="26" borderId="1" applyAlignment="1" pivotButton="0" quotePrefix="0" xfId="0">
      <alignment horizontal="center" vertical="center" wrapText="1"/>
    </xf>
    <xf numFmtId="0" fontId="23" fillId="27" borderId="1" applyAlignment="1" pivotButton="0" quotePrefix="0" xfId="0">
      <alignment horizontal="center" vertical="center" wrapText="1"/>
    </xf>
    <xf numFmtId="0" fontId="23" fillId="28" borderId="1" applyAlignment="1" pivotButton="0" quotePrefix="0" xfId="0">
      <alignment horizontal="center" vertical="center" wrapText="1"/>
    </xf>
    <xf numFmtId="0" fontId="23" fillId="29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4" fillId="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20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21" fillId="11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22" fillId="10" borderId="1" applyAlignment="1" pivotButton="0" quotePrefix="0" xfId="0">
      <alignment vertical="top" wrapText="1"/>
    </xf>
    <xf numFmtId="0" fontId="8" fillId="12" borderId="1" applyAlignment="1" pivotButton="0" quotePrefix="0" xfId="0">
      <alignment vertical="top" wrapText="1"/>
    </xf>
    <xf numFmtId="0" fontId="2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25" fillId="30" borderId="1" applyAlignment="1" pivotButton="0" quotePrefix="0" xfId="0">
      <alignment horizontal="left" vertical="center" wrapText="1"/>
    </xf>
    <xf numFmtId="0" fontId="25" fillId="31" borderId="1" applyAlignment="1" pivotButton="0" quotePrefix="0" xfId="0">
      <alignment horizontal="left" vertical="center" wrapText="1"/>
    </xf>
    <xf numFmtId="0" fontId="25" fillId="32" borderId="1" applyAlignment="1" pivotButton="0" quotePrefix="0" xfId="0">
      <alignment horizontal="left" vertical="center" wrapText="1"/>
    </xf>
    <xf numFmtId="0" fontId="25" fillId="33" borderId="1" applyAlignment="1" pivotButton="0" quotePrefix="0" xfId="0">
      <alignment horizontal="left" vertical="center" wrapText="1"/>
    </xf>
    <xf numFmtId="0" fontId="25" fillId="34" borderId="1" applyAlignment="1" pivotButton="0" quotePrefix="0" xfId="0">
      <alignment horizontal="left" vertical="center" wrapText="1"/>
    </xf>
    <xf numFmtId="0" fontId="26" fillId="35" borderId="0" applyAlignment="1" pivotButton="0" quotePrefix="0" xfId="0">
      <alignment vertical="top" wrapText="1"/>
    </xf>
    <xf numFmtId="0" fontId="26" fillId="3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7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/>
    </xf>
    <xf numFmtId="0" fontId="0" fillId="0" borderId="0" pivotButton="0" quotePrefix="0" xfId="0"/>
    <xf numFmtId="0" fontId="11" fillId="20" borderId="0" applyAlignment="1" pivotButton="0" quotePrefix="0" xfId="0">
      <alignment horizontal="left" vertical="center"/>
    </xf>
    <xf numFmtId="0" fontId="10" fillId="14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/>
    </xf>
    <xf numFmtId="0" fontId="9" fillId="13" borderId="0" applyAlignment="1" pivotButton="0" quotePrefix="0" xfId="0">
      <alignment horizontal="left" vertical="center"/>
    </xf>
    <xf numFmtId="0" fontId="15" fillId="22" borderId="0" applyAlignment="1" pivotButton="0" quotePrefix="0" xfId="0">
      <alignment horizontal="left" vertical="center" wrapText="1"/>
    </xf>
    <xf numFmtId="0" fontId="19" fillId="14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left" vertical="center"/>
    </xf>
    <xf numFmtId="0" fontId="11" fillId="21" borderId="0" applyAlignment="1" pivotButton="0" quotePrefix="0" xfId="0">
      <alignment horizontal="left" vertical="center"/>
    </xf>
    <xf numFmtId="0" fontId="15" fillId="23" borderId="0" applyAlignment="1" pivotButton="0" quotePrefix="0" xfId="0">
      <alignment horizontal="left" vertical="center" wrapText="1"/>
    </xf>
    <xf numFmtId="0" fontId="26" fillId="37" borderId="0" applyAlignment="1" pivotButton="0" quotePrefix="0" xfId="0">
      <alignment horizontal="center" vertical="center" wrapText="1"/>
    </xf>
    <xf numFmtId="0" fontId="6" fillId="38" borderId="1" applyAlignment="1" pivotButton="0" quotePrefix="0" xfId="0">
      <alignment horizontal="center" vertical="center" wrapText="1"/>
    </xf>
    <xf numFmtId="0" fontId="6" fillId="39" borderId="1" applyAlignment="1" pivotButton="0" quotePrefix="0" xfId="0">
      <alignment horizontal="center" vertical="center" wrapText="1"/>
    </xf>
    <xf numFmtId="0" fontId="6" fillId="40" borderId="1" applyAlignment="1" pivotButton="0" quotePrefix="0" xfId="0">
      <alignment horizontal="center" vertical="center" wrapText="1"/>
    </xf>
    <xf numFmtId="0" fontId="6" fillId="41" borderId="1" applyAlignment="1" pivotButton="0" quotePrefix="0" xfId="0">
      <alignment horizontal="center" vertical="center" wrapText="1"/>
    </xf>
    <xf numFmtId="0" fontId="27" fillId="42" borderId="0" applyAlignment="1" pivotButton="0" quotePrefix="0" xfId="0">
      <alignment horizontal="left" vertical="center" wrapText="1"/>
    </xf>
    <xf numFmtId="0" fontId="0" fillId="42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28" fillId="42" borderId="7" applyAlignment="1" pivotButton="0" quotePrefix="0" xfId="0">
      <alignment horizontal="center" vertical="center" wrapText="1"/>
    </xf>
    <xf numFmtId="0" fontId="30" fillId="43" borderId="7" applyAlignment="1" pivotButton="0" quotePrefix="0" xfId="0">
      <alignment horizontal="left" vertical="center" wrapText="1"/>
    </xf>
    <xf numFmtId="0" fontId="30" fillId="44" borderId="7" applyAlignment="1" pivotButton="0" quotePrefix="0" xfId="0">
      <alignment horizontal="left" vertical="center" wrapText="1"/>
    </xf>
    <xf numFmtId="0" fontId="33" fillId="43" borderId="7" applyAlignment="1" pivotButton="0" quotePrefix="0" xfId="0">
      <alignment horizontal="left" vertical="center" wrapText="1"/>
    </xf>
    <xf numFmtId="0" fontId="0" fillId="43" borderId="7" pivotButton="0" quotePrefix="0" xfId="0"/>
    <xf numFmtId="0" fontId="33" fillId="44" borderId="7" applyAlignment="1" pivotButton="0" quotePrefix="0" xfId="0">
      <alignment horizontal="left" vertical="center" wrapText="1"/>
    </xf>
    <xf numFmtId="0" fontId="0" fillId="44" borderId="7" pivotButton="0" quotePrefix="0" xfId="0"/>
    <xf numFmtId="0" fontId="29" fillId="43" borderId="7" applyAlignment="1" pivotButton="0" quotePrefix="0" xfId="0">
      <alignment horizontal="center" vertical="center" wrapText="1"/>
    </xf>
    <xf numFmtId="0" fontId="30" fillId="43" borderId="7" applyAlignment="1" pivotButton="0" quotePrefix="0" xfId="0">
      <alignment horizontal="center" vertical="center" wrapText="1"/>
    </xf>
    <xf numFmtId="0" fontId="29" fillId="44" borderId="7" applyAlignment="1" pivotButton="0" quotePrefix="0" xfId="0">
      <alignment horizontal="center" vertical="center" wrapText="1"/>
    </xf>
    <xf numFmtId="0" fontId="30" fillId="44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5F4F0"/>
      <rgbColor rgb="FFFF00FF"/>
      <rgbColor rgb="FF00FFFF"/>
      <rgbColor rgb="FF800000"/>
      <rgbColor rgb="FF008000"/>
      <rgbColor rgb="FF1A1A2E"/>
      <rgbColor rgb="FF856F0A"/>
      <rgbColor rgb="FF800080"/>
      <rgbColor rgb="FF0F6E56"/>
      <rgbColor rgb="FFBFBFBF"/>
      <rgbColor rgb="FF8A8880"/>
      <rgbColor rgb="FFEEF2F8"/>
      <rgbColor rgb="FF72243E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A5F5F"/>
      <rgbColor rgb="FF0000FF"/>
      <rgbColor rgb="FF00B0C8"/>
      <rgbColor rgb="FFE0E8F4"/>
      <rgbColor rgb="FFE2EFDA"/>
      <rgbColor rgb="FFFCE4D6"/>
      <rgbColor rgb="FFD5D3CD"/>
      <rgbColor rgb="FFF2F2F2"/>
      <rgbColor rgb="FFEAD1FF"/>
      <rgbColor rgb="FFFFCCCC"/>
      <rgbColor rgb="FF2E75B6"/>
      <rgbColor rgb="FF33CCCC"/>
      <rgbColor rgb="FF99CC00"/>
      <rgbColor rgb="FFFFCC00"/>
      <rgbColor rgb="FFB8860B"/>
      <rgbColor rgb="FFED7D31"/>
      <rgbColor rgb="FF5F5E5A"/>
      <rgbColor rgb="FF70AD47"/>
      <rgbColor rgb="FF0F3460"/>
      <rgbColor rgb="FF595959"/>
      <rgbColor rgb="FF16213E"/>
      <rgbColor rgb="FF1A1A18"/>
      <rgbColor rgb="FF993300"/>
      <rgbColor rgb="FF7030A0"/>
      <rgbColor rgb="FF534AB7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tabSelected="1" zoomScale="170" zoomScaleNormal="170" workbookViewId="0">
      <selection activeCell="D8" sqref="D8"/>
    </sheetView>
  </sheetViews>
  <sheetFormatPr baseColWidth="10" defaultColWidth="8.83203125" defaultRowHeight="15"/>
  <cols>
    <col width="22" customWidth="1" style="98" min="1" max="1"/>
    <col width="34" customWidth="1" style="98" min="2" max="2"/>
    <col width="46" customWidth="1" style="98" min="3" max="3"/>
    <col width="26" customWidth="1" style="98" min="4" max="4"/>
    <col width="14" customWidth="1" style="98" min="5" max="5"/>
    <col width="14" customWidth="1" style="98" min="6" max="6"/>
  </cols>
  <sheetData>
    <row r="1" ht="30" customHeight="1" s="98">
      <c r="A1" s="113" t="inlineStr">
        <is>
          <t>🗂️  SUPERSTORE INC. — DA WORKSHEET v3.0 | Phân Tích Yêu Cầu &amp; Pre-Dashboard</t>
        </is>
      </c>
      <c r="B1" s="114" t="n"/>
      <c r="C1" s="114" t="n"/>
      <c r="D1" s="114" t="n"/>
      <c r="E1" s="114" t="n"/>
      <c r="F1" s="114" t="n"/>
    </row>
    <row r="2" ht="19.5" customHeight="1" s="98">
      <c r="A2" s="115" t="inlineStr">
        <is>
          <t>Dựa trên: DA SOP 8 Bước · Decoder 6 Domain · BRD + FRD ×7 · SRS · Data Dictionary (document_company) · ground truth bảng: star-schema-da.html</t>
        </is>
      </c>
    </row>
    <row r="4" ht="24" customHeight="1" s="98">
      <c r="A4" s="116" t="inlineStr">
        <is>
          <t>📌 Cấu Trúc Worksheet — 8 Sheet Theo Luồng Phân Tích (v3)</t>
        </is>
      </c>
    </row>
    <row r="5" ht="24" customHeight="1" s="98">
      <c r="A5" s="117" t="inlineStr">
        <is>
          <t>Sheet</t>
        </is>
      </c>
      <c r="B5" s="117" t="inlineStr">
        <is>
          <t>Mục Đích</t>
        </is>
      </c>
      <c r="C5" s="117" t="inlineStr">
        <is>
          <t>Nội Dung Chính</t>
        </is>
      </c>
      <c r="D5" s="117" t="inlineStr">
        <is>
          <t>Nguồn Tài Liệu</t>
        </is>
      </c>
    </row>
    <row r="6" ht="44" customHeight="1" s="98">
      <c r="A6" s="118" t="inlineStr">
        <is>
          <t>1️⃣ Stakeholder Map</t>
        </is>
      </c>
      <c r="B6" s="118" t="inlineStr">
        <is>
          <t>Ai cần gì? Domain? Report nào?</t>
        </is>
      </c>
      <c r="C6" s="118" t="inlineStr">
        <is>
          <t>15 stakeholder (9 gốc + 6 bổ sung v3) · Domain · RPT-ID phục vụ · Tần suất · Ưu tiên. Câu hỏi/Framework đã chuyển sang ❔ Question Registry</t>
        </is>
      </c>
      <c r="D6" s="118" t="inlineStr">
        <is>
          <t>BRD §4 + FRD-01→08 §1</t>
        </is>
      </c>
    </row>
    <row r="7" ht="44" customHeight="1" s="98">
      <c r="A7" s="119" t="inlineStr">
        <is>
          <t>2️⃣ BRD Trace</t>
        </is>
      </c>
      <c r="B7" s="119" t="inlineStr">
        <is>
          <t>BO → Success Metric → Owner → Question</t>
        </is>
      </c>
      <c r="C7" s="119" t="inlineStr">
        <is>
          <t>8 Business Objective: Objective · Success metric đo được · STK owner · Q-ID phục vụ (trace qua ❔ Question Registry)</t>
        </is>
      </c>
      <c r="D7" s="119" t="inlineStr">
        <is>
          <t>BRD §3,6 + FRD §7</t>
        </is>
      </c>
    </row>
    <row r="8" ht="44" customHeight="1" s="98">
      <c r="A8" s="118" t="inlineStr">
        <is>
          <t>❔ Question Registry</t>
        </is>
      </c>
      <c r="B8" s="118" t="inlineStr">
        <is>
          <t>Điểm kết nối — NEW v3</t>
        </is>
      </c>
      <c r="C8" s="118" t="inlineStr">
        <is>
          <t>31 câu hỏi ưu tiên, mỗi câu có Domain · Stakeholder · Framework · RPT-ID phục vụ · BO-ID liên quan</t>
        </is>
      </c>
      <c r="D8" s="118" t="inlineStr">
        <is>
          <t>Tổng hợp từ Sheet 1️⃣ bản gốc</t>
        </is>
      </c>
    </row>
    <row r="9" ht="44" customHeight="1" s="98">
      <c r="A9" s="119" t="inlineStr">
        <is>
          <t>📊 Analysis Log</t>
        </is>
      </c>
      <c r="B9" s="119" t="inlineStr">
        <is>
          <t>Điền 1 row / buổi phân tích — gộp v3</t>
        </is>
      </c>
      <c r="C9" s="119" t="inlineStr">
        <is>
          <t>12 row (6 session domain + 6 hypothesis độc lập, đã bỏ 4 hypothesis trùng domain): Q-ID · Hypothesis · SQL validate · WHAT · WHY · Action · Monitor · Flag · Sprint · Ngày chạy</t>
        </is>
      </c>
      <c r="D9" s="119" t="inlineStr">
        <is>
          <t>DA_SOP_8Buoc + BRD §2 + BR-xxx</t>
        </is>
      </c>
    </row>
    <row r="10" ht="44" customHeight="1" s="98">
      <c r="A10" s="118" t="inlineStr">
        <is>
          <t>4️⃣ Dashboard Blueprint</t>
        </is>
      </c>
      <c r="B10" s="118" t="inlineStr">
        <is>
          <t>Thiết kế 11 report (19 page gốc)</t>
        </is>
      </c>
      <c r="C10" s="118" t="inlineStr">
        <is>
          <t>RPT-ID · Report Name · Pages · Stakeholder · Domain · KPI+Ngưỡng · Chart list · Nguồn dbt · Refresh · Priority</t>
        </is>
      </c>
      <c r="D10" s="118" t="inlineStr">
        <is>
          <t>FRD-07-08 §6 + FRD-01→06 §7</t>
        </is>
      </c>
    </row>
    <row r="11" ht="44" customHeight="1" s="98">
      <c r="A11" s="119" t="inlineStr">
        <is>
          <t>6️⃣ Data Source Map</t>
        </is>
      </c>
      <c r="B11" s="119" t="inlineStr">
        <is>
          <t>Report → dbt Gold → Silver → Odoo → CDC</t>
        </is>
      </c>
      <c r="C11" s="119" t="inlineStr">
        <is>
          <t>11 report → Gold mart/fact (chỉ dùng tên bảng thật trong star-schema-da.html) → Silver/Staging → Odoo source → Pipeline layer. Report Name = VLOOKUP thật từ Sheet 4️⃣</t>
        </is>
      </c>
      <c r="D11" s="119" t="inlineStr">
        <is>
          <t>star-schema-da.html (37 bảng) + FRD-07-08 §7</t>
        </is>
      </c>
    </row>
    <row r="12">
      <c r="A12" s="116" t="inlineStr">
        <is>
          <t>⚠️ Nguyên Tắc Sử Dụng Worksheet Này</t>
        </is>
      </c>
    </row>
    <row r="13" ht="26" customHeight="1" s="98">
      <c r="A13" s="120" t="inlineStr">
        <is>
          <t>✅ Đúng nguồn</t>
        </is>
      </c>
      <c r="B13" s="118" t="inlineStr">
        <is>
          <t>Mọi KPI, ngưỡng, tên bảng, tên cột đều trace được về tài liệu gốc (BRD/FRD/DD) hoặc star-schema-da.html (37 bảng thật)</t>
        </is>
      </c>
      <c r="C13" s="121" t="n"/>
      <c r="D13" s="121" t="n"/>
    </row>
    <row r="14" ht="26" customHeight="1" s="98">
      <c r="A14" s="122" t="inlineStr">
        <is>
          <t>❌ Không bịa số</t>
        </is>
      </c>
      <c r="B14" s="119" t="inlineStr">
        <is>
          <t>WHAT/WHY/Action ở Analysis Log là GIẢ THUYẾT — chưa có số thật cho đến khi query data</t>
        </is>
      </c>
      <c r="C14" s="123" t="n"/>
      <c r="D14" s="123" t="n"/>
    </row>
    <row r="15" ht="26" customHeight="1" s="98">
      <c r="A15" s="120" t="inlineStr">
        <is>
          <t>❌ Không bịa bảng</t>
        </is>
      </c>
      <c r="B15" s="118" t="inlineStr">
        <is>
          <t>Không đặt tên mart/fact/dim không tồn tại trong star-schema-da.html. Nếu chưa có mart, ghi rõ 'Không có mart' + liệt kê bảng cần JOIN</t>
        </is>
      </c>
      <c r="C15" s="121" t="n"/>
      <c r="D15" s="121" t="n"/>
    </row>
    <row r="16" ht="26" customHeight="1" s="98">
      <c r="A16" s="122" t="inlineStr">
        <is>
          <t>🔗 Trace mã</t>
        </is>
      </c>
      <c r="B16" s="119" t="inlineStr">
        <is>
          <t>Mỗi row dùng mã BRD (BO-xx), FRD (BR-xx), Q-xx, RPT-xx để truy về tài liệu/sheet gốc — xem 🗺️ Tra Cứu Ký Hiệu</t>
        </is>
      </c>
      <c r="C16" s="123" t="n"/>
      <c r="D16" s="123" t="n"/>
    </row>
    <row r="17" ht="26" customHeight="1" s="98">
      <c r="A17" s="120" t="inlineStr">
        <is>
          <t>📋 Điền thực tế</t>
        </is>
      </c>
      <c r="B17" s="118" t="inlineStr">
        <is>
          <t>Sau khi chạy query: cập nhật WHAT/WHY bằng số thật, đổi Ngày Chạy từ 'Chưa chạy' sang ngày thật, đổi Flag theo kết quả</t>
        </is>
      </c>
      <c r="C17" s="121" t="n"/>
      <c r="D17" s="121" t="n"/>
    </row>
    <row r="18" ht="26" customHeight="1" s="98">
      <c r="A18" s="122" t="inlineStr">
        <is>
          <t>🔄 Lặp phân tích</t>
        </is>
      </c>
      <c r="B18" s="119" t="inlineStr">
        <is>
          <t>Mỗi buổi phân tích = 1 row mới ở 📊 Analysis Log. Output của Action → input Monitor lần sau</t>
        </is>
      </c>
      <c r="C18" s="123" t="n"/>
      <c r="D18" s="123" t="n"/>
    </row>
    <row r="20" ht="24" customHeight="1" s="98">
      <c r="A20" s="116" t="inlineStr">
        <is>
          <t>🔑 Ký Hiệu</t>
        </is>
      </c>
    </row>
    <row r="21" ht="22" customHeight="1" s="98">
      <c r="A21" s="120" t="inlineStr">
        <is>
          <t>🔴 Xử lý ngay</t>
        </is>
      </c>
      <c r="B21" s="118" t="inlineStr">
        <is>
          <t>Priority cao — ảnh hưởng revenue/risk</t>
        </is>
      </c>
      <c r="C21" s="121" t="n"/>
      <c r="D21" s="121" t="n"/>
    </row>
    <row r="22" ht="22" customHeight="1" s="98">
      <c r="A22" s="122" t="inlineStr">
        <is>
          <t>🟡 Theo dõi</t>
        </is>
      </c>
      <c r="B22" s="119" t="inlineStr">
        <is>
          <t>Quan trọng nhưng chưa khẩn</t>
        </is>
      </c>
      <c r="C22" s="123" t="n"/>
      <c r="D22" s="123" t="n"/>
    </row>
    <row r="23" ht="22" customHeight="1" s="98">
      <c r="A23" s="120" t="inlineStr">
        <is>
          <t>🟢 Duy trì</t>
        </is>
      </c>
      <c r="B23" s="118" t="inlineStr">
        <is>
          <t>Đang tốt theo tài liệu/benchmark</t>
        </is>
      </c>
      <c r="C23" s="121" t="n"/>
      <c r="D23" s="121" t="n"/>
    </row>
    <row r="24" ht="22" customHeight="1" s="98">
      <c r="A24" s="122" t="inlineStr">
        <is>
          <t>❓ Chưa verify</t>
        </is>
      </c>
      <c r="B24" s="119" t="inlineStr">
        <is>
          <t>Hypothesis — cần query data để xác nhận</t>
        </is>
      </c>
      <c r="C24" s="123" t="n"/>
      <c r="D24" s="123" t="n"/>
    </row>
    <row r="25" ht="22" customHeight="1" s="98">
      <c r="A25" s="120" t="inlineStr">
        <is>
          <t>💡 Ý tưởng</t>
        </is>
      </c>
      <c r="B25" s="118" t="inlineStr">
        <is>
          <t>Ghi lại để explore sau</t>
        </is>
      </c>
      <c r="C25" s="121" t="n"/>
      <c r="D25" s="121" t="n"/>
    </row>
    <row r="26" ht="22" customHeight="1" s="98">
      <c r="A26" s="122" t="inlineStr">
        <is>
          <t>✅ Đã xác nhận tồn tại</t>
        </is>
      </c>
      <c r="B26" s="119" t="inlineStr">
        <is>
          <t>Mart/fact có thật trong star-schema-da.html</t>
        </is>
      </c>
      <c r="C26" s="123" t="n"/>
      <c r="D26" s="123" t="n"/>
    </row>
    <row r="27" ht="22" customHeight="1" s="98">
      <c r="A27" s="120" t="inlineStr">
        <is>
          <t>⚠️ Giới hạn/thiếu</t>
        </is>
      </c>
      <c r="B27" s="118" t="inlineStr">
        <is>
          <t>Chưa có mart, chưa có nguồn dữ liệu, hoặc lỗi đã biết trong schema hiện tại</t>
        </is>
      </c>
      <c r="C27" s="121" t="n"/>
      <c r="D27" s="121" t="n"/>
    </row>
    <row r="29">
      <c r="A29" s="116" t="inlineStr">
        <is>
          <t>🆕 Đổi Mới So Với v1/v2</t>
        </is>
      </c>
    </row>
    <row r="30" ht="22" customHeight="1" s="98">
      <c r="A30" s="118" t="inlineStr">
        <is>
          <t>• 19 dashboard → 11 report (page trùng domain gộp lại, xem cột Pages ở 4️⃣)</t>
        </is>
      </c>
      <c r="B30" s="121" t="n"/>
      <c r="C30" s="121" t="n"/>
      <c r="D30" s="121" t="n"/>
      <c r="E30" s="121" t="n"/>
      <c r="F30" s="121" t="n"/>
    </row>
    <row r="31" ht="22" customHeight="1" s="98">
      <c r="A31" s="119" t="inlineStr">
        <is>
          <t>• Thêm ❔ Question Registry — nối Stakeholder ↔ BRD ↔ Analysis Log ↔ Dashboard</t>
        </is>
      </c>
      <c r="B31" s="123" t="n"/>
      <c r="C31" s="123" t="n"/>
      <c r="D31" s="123" t="n"/>
      <c r="E31" s="123" t="n"/>
      <c r="F31" s="123" t="n"/>
    </row>
    <row r="32" ht="22" customHeight="1" s="98">
      <c r="A32" s="118" t="inlineStr">
        <is>
          <t>• Gộp 3️⃣ Worksheet 8 Bước + 5️⃣ Insight Hypotheses → 📊 Analysis Log, bỏ 4 hypothesis trùng domain</t>
        </is>
      </c>
      <c r="B32" s="121" t="n"/>
      <c r="C32" s="121" t="n"/>
      <c r="D32" s="121" t="n"/>
      <c r="E32" s="121" t="n"/>
      <c r="F32" s="121" t="n"/>
    </row>
    <row r="33" ht="22" customHeight="1" s="98">
      <c r="A33" s="119" t="inlineStr">
        <is>
          <t>• Sửa lỗi copy-paste: KPI AP Aging (từng dán nhầm từ AR), KPI Manufacturing (từng là text Framework không phải ngưỡng thật), chart list Cash Flow/Balance Sheet (từng dính đuôi P&amp;L)</t>
        </is>
      </c>
      <c r="B33" s="123" t="n"/>
      <c r="C33" s="123" t="n"/>
      <c r="D33" s="123" t="n"/>
      <c r="E33" s="123" t="n"/>
      <c r="F33" s="123" t="n"/>
    </row>
    <row r="34" ht="22" customHeight="1" s="98">
      <c r="A34" s="118" t="inlineStr">
        <is>
          <t>• 6️⃣ Data Source Map: bỏ toàn bộ tên mart bịa (mart_executive_kpi, mart_sales_daily, mart_rfm_segments...) — chỉ dùng đúng 10 mart/16 fact/11 dim có thật trong star-schema-da.html</t>
        </is>
      </c>
      <c r="B34" s="121" t="n"/>
      <c r="C34" s="121" t="n"/>
      <c r="D34" s="121" t="n"/>
      <c r="E34" s="121" t="n"/>
      <c r="F34" s="121" t="n"/>
    </row>
    <row r="35" ht="22" customHeight="1" s="98">
      <c r="A35" s="119" t="inlineStr">
        <is>
          <t>• 1️⃣ Stakeholder Map: thêm 6 stakeholder từng thiếu (AR Specialist, HR Generalist, Regional Sales Mgr ×4, Production Planner, Warehouse Supervisor ×4, Ops Manager) — HR Headcount Dashboard hết mồ côi</t>
        </is>
      </c>
      <c r="B35" s="123" t="n"/>
      <c r="C35" s="123" t="n"/>
      <c r="D35" s="123" t="n"/>
      <c r="E35" s="123" t="n"/>
      <c r="F35" s="123" t="n"/>
    </row>
  </sheetData>
  <mergeCells count="21">
    <mergeCell ref="B14:D14"/>
    <mergeCell ref="B23:D23"/>
    <mergeCell ref="B17:D17"/>
    <mergeCell ref="B26:D26"/>
    <mergeCell ref="B13:D13"/>
    <mergeCell ref="A31:F31"/>
    <mergeCell ref="A34:F34"/>
    <mergeCell ref="A30:F30"/>
    <mergeCell ref="B25:D25"/>
    <mergeCell ref="B16:D16"/>
    <mergeCell ref="A2:F2"/>
    <mergeCell ref="A33:F33"/>
    <mergeCell ref="B22:D22"/>
    <mergeCell ref="A1:F1"/>
    <mergeCell ref="A32:F32"/>
    <mergeCell ref="B18:D18"/>
    <mergeCell ref="B27:D27"/>
    <mergeCell ref="B21:D21"/>
    <mergeCell ref="A35:F35"/>
    <mergeCell ref="B15:D15"/>
    <mergeCell ref="B24:D2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F6E56"/>
    <outlinePr summaryBelow="1" summaryRight="1"/>
    <pageSetUpPr/>
  </sheetPr>
  <dimension ref="B2:E76"/>
  <sheetViews>
    <sheetView tabSelected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0" sqref="B20"/>
    </sheetView>
  </sheetViews>
  <sheetFormatPr baseColWidth="10" defaultColWidth="8.83203125" defaultRowHeight="15"/>
  <cols>
    <col width="3" customWidth="1" style="98" min="1" max="1"/>
    <col width="24" customWidth="1" style="98" min="2" max="2"/>
    <col width="32" customWidth="1" style="98" min="3" max="3"/>
    <col width="42" customWidth="1" style="98" min="4" max="4"/>
    <col width="28" customWidth="1" style="98" min="5" max="5"/>
    <col width="3" customWidth="1" style="98" min="6" max="6"/>
  </cols>
  <sheetData>
    <row r="1" ht="7.5" customHeight="1" s="98"/>
    <row r="2" ht="33.75" customHeight="1" s="98">
      <c r="B2" s="102" t="inlineStr">
        <is>
          <t>🗺️  Tra Cứu Ký Hiệu — FRD · BR · § · KPI</t>
        </is>
      </c>
    </row>
    <row r="3" ht="18" customHeight="1" s="98">
      <c r="B3" s="100" t="inlineStr">
        <is>
          <t>Mọi ký hiệu trong worksheet đều trace về đây. Ctrl+F tìm ký hiệu → xem File &amp; Section cần mở.</t>
        </is>
      </c>
    </row>
    <row r="5" ht="21.75" customHeight="1" s="98">
      <c r="B5" s="101" t="inlineStr">
        <is>
          <t xml:space="preserve">  📋  BẢNG 1 — FRD-XX   Ký hiệu file tài liệu</t>
        </is>
      </c>
    </row>
    <row r="6" ht="16.5" customHeight="1" s="98">
      <c r="B6" s="14" t="inlineStr">
        <is>
          <t>Ký hiệu</t>
        </is>
      </c>
      <c r="C6" s="14" t="inlineStr">
        <is>
          <t>File cần mở</t>
        </is>
      </c>
      <c r="D6" s="14" t="inlineStr">
        <is>
          <t>Nội dung domain</t>
        </is>
      </c>
      <c r="E6" s="14" t="inlineStr">
        <is>
          <t>Tìm trong file (Ctrl+F)</t>
        </is>
      </c>
    </row>
    <row r="7" ht="16.5" customHeight="1" s="98">
      <c r="B7" s="15" t="inlineStr">
        <is>
          <t>FRD-01 / FR-SAL</t>
        </is>
      </c>
      <c r="C7" s="16" t="inlineStr">
        <is>
          <t>FRD-01-sales-crm.md</t>
        </is>
      </c>
      <c r="D7" s="17" t="inlineStr">
        <is>
          <t>Sales &amp; CRM · Lead, SO, Delivery, Invoice</t>
        </is>
      </c>
      <c r="E7" s="18" t="inlineStr">
        <is>
          <t>KPI  hoặc  Lead→SO  hoặc  AOV</t>
        </is>
      </c>
    </row>
    <row r="8" ht="16.5" customHeight="1" s="98">
      <c r="B8" s="19" t="inlineStr">
        <is>
          <t>FRD-02 / FR-MKT</t>
        </is>
      </c>
      <c r="C8" s="20" t="inlineStr">
        <is>
          <t>FRD-02-marketing.md</t>
        </is>
      </c>
      <c r="D8" s="21" t="inlineStr">
        <is>
          <t>Marketing · UTM, ROAS, CAC, Email metrics</t>
        </is>
      </c>
      <c r="E8" s="22" t="inlineStr">
        <is>
          <t>KPI  hoặc  ROAS  hoặc  CAC</t>
        </is>
      </c>
    </row>
    <row r="9" ht="16.5" customHeight="1" s="98">
      <c r="B9" s="15" t="inlineStr">
        <is>
          <t>FRD-03 / FR-PUR</t>
        </is>
      </c>
      <c r="C9" s="16" t="inlineStr">
        <is>
          <t>FRD-03-purchasing.md</t>
        </is>
      </c>
      <c r="D9" s="17" t="inlineStr">
        <is>
          <t>Purchasing · RFQ, PO, 3-way match</t>
        </is>
      </c>
      <c r="E9" s="18" t="inlineStr">
        <is>
          <t>KPI  hoặc  3-way match  hoặc  Fill Rate</t>
        </is>
      </c>
    </row>
    <row r="10" ht="16.5" customHeight="1" s="98">
      <c r="B10" s="19" t="inlineStr">
        <is>
          <t>FRD-04 / FR-WH</t>
        </is>
      </c>
      <c r="C10" s="20" t="inlineStr">
        <is>
          <t>FRD-04-warehouse.md</t>
        </is>
      </c>
      <c r="D10" s="21" t="inlineStr">
        <is>
          <t>Warehouse · 4 kho, Receiving, Delivery</t>
        </is>
      </c>
      <c r="E10" s="22" t="inlineStr">
        <is>
          <t>KPI  hoặc  OTD  hoặc  Pick &amp; Pack</t>
        </is>
      </c>
    </row>
    <row r="11" ht="16.5" customHeight="1" s="98">
      <c r="B11" s="15" t="inlineStr">
        <is>
          <t>FRD-05 / FR-MFG</t>
        </is>
      </c>
      <c r="C11" s="16" t="inlineStr">
        <is>
          <t>FRD-05-manufacturing.md</t>
        </is>
      </c>
      <c r="D11" s="17" t="inlineStr">
        <is>
          <t>Manufacturing · BOM, Work Centers, OEE</t>
        </is>
      </c>
      <c r="E11" s="18" t="inlineStr">
        <is>
          <t>KPI  hoặc  OEE  hoặc  Defect Rate</t>
        </is>
      </c>
    </row>
    <row r="12" ht="16.5" customHeight="1" s="98">
      <c r="B12" s="19" t="inlineStr">
        <is>
          <t>FRD-06 / FR-ACC</t>
        </is>
      </c>
      <c r="C12" s="20" t="inlineStr">
        <is>
          <t>FRD-06-accounting.md</t>
        </is>
      </c>
      <c r="D12" s="21" t="inlineStr">
        <is>
          <t>Accounting · AR/AP, DSO, DPO, Close</t>
        </is>
      </c>
      <c r="E12" s="22" t="inlineStr">
        <is>
          <t>KPI  hoặc  DSO  hoặc  Đóng sổ</t>
        </is>
      </c>
    </row>
    <row r="13" ht="16.5" customHeight="1" s="98">
      <c r="B13" s="15" t="inlineStr">
        <is>
          <t>FRD-07</t>
        </is>
      </c>
      <c r="C13" s="16" t="inlineStr">
        <is>
          <t>FRD-07-08-hr-dataops.md</t>
        </is>
      </c>
      <c r="D13" s="17" t="inlineStr">
        <is>
          <t>HR · Hire-to-retire, Contracts, SCD2</t>
        </is>
      </c>
      <c r="E13" s="18" t="inlineStr">
        <is>
          <t>KPI  hoặc  hr_contract  hoặc  SCD2</t>
        </is>
      </c>
    </row>
    <row r="14" ht="16.5" customHeight="1" s="98">
      <c r="B14" s="19" t="inlineStr">
        <is>
          <t>FRD-08 / FR-DATA</t>
        </is>
      </c>
      <c r="C14" s="20" t="inlineStr">
        <is>
          <t>FRD-07-08-hr-dataops.md</t>
        </is>
      </c>
      <c r="D14" s="21" t="inlineStr">
        <is>
          <t>Data Ops · CDC pipeline, dbt, Power BI</t>
        </is>
      </c>
      <c r="E14" s="22" t="inlineStr">
        <is>
          <t>KPI  hoặc  DAG  hoặc  pipeline</t>
        </is>
      </c>
    </row>
    <row r="16" ht="21.75" customHeight="1" s="98">
      <c r="B16" s="97" t="inlineStr">
        <is>
          <t xml:space="preserve">  📏  BẢNG 2 — BR-XXX-YY   Ký hiệu Business Rule</t>
        </is>
      </c>
    </row>
    <row r="17" ht="16.5" customHeight="1" s="98">
      <c r="B17" s="14" t="inlineStr">
        <is>
          <t>Ký hiệu</t>
        </is>
      </c>
      <c r="C17" s="14" t="inlineStr">
        <is>
          <t>File cần mở</t>
        </is>
      </c>
      <c r="D17" s="14" t="inlineStr">
        <is>
          <t>Ý nghĩa</t>
        </is>
      </c>
      <c r="E17" s="14" t="inlineStr">
        <is>
          <t>Cách tìm</t>
        </is>
      </c>
    </row>
    <row r="18" ht="16.5" customHeight="1" s="98">
      <c r="B18" s="23" t="inlineStr">
        <is>
          <t>BR-SAL-XX</t>
        </is>
      </c>
      <c r="C18" s="16" t="inlineStr">
        <is>
          <t>FRD-01-sales-crm.md</t>
        </is>
      </c>
      <c r="D18" s="17" t="inlineStr">
        <is>
          <t>Rule Sales số XX</t>
        </is>
      </c>
      <c r="E18" s="18" t="inlineStr">
        <is>
          <t>Ctrl+F → 'BR-SAL-XX'</t>
        </is>
      </c>
    </row>
    <row r="19" ht="16.5" customHeight="1" s="98">
      <c r="B19" s="24" t="inlineStr">
        <is>
          <t>BR-MKT-XX</t>
        </is>
      </c>
      <c r="C19" s="20" t="inlineStr">
        <is>
          <t>FRD-02-marketing.md</t>
        </is>
      </c>
      <c r="D19" s="21" t="inlineStr">
        <is>
          <t>Rule Marketing số XX</t>
        </is>
      </c>
      <c r="E19" s="22" t="inlineStr">
        <is>
          <t>Ctrl+F → 'BR-MKT' hoặc 'ROAS'</t>
        </is>
      </c>
    </row>
    <row r="20" ht="16.5" customHeight="1" s="98">
      <c r="B20" s="23" t="inlineStr">
        <is>
          <t>BR-PUR-XX</t>
        </is>
      </c>
      <c r="C20" s="16" t="inlineStr">
        <is>
          <t>FRD-03-purchasing.md</t>
        </is>
      </c>
      <c r="D20" s="17" t="inlineStr">
        <is>
          <t>Rule Purchasing số XX</t>
        </is>
      </c>
      <c r="E20" s="18" t="inlineStr">
        <is>
          <t>Ctrl+F → 'BR-PUR' hoặc '3-way'</t>
        </is>
      </c>
    </row>
    <row r="21" ht="16.5" customHeight="1" s="98">
      <c r="B21" s="24" t="inlineStr">
        <is>
          <t>BR-WH-XX</t>
        </is>
      </c>
      <c r="C21" s="20" t="inlineStr">
        <is>
          <t>FRD-04-warehouse.md</t>
        </is>
      </c>
      <c r="D21" s="21" t="inlineStr">
        <is>
          <t>Rule Warehouse số XX</t>
        </is>
      </c>
      <c r="E21" s="22" t="inlineStr">
        <is>
          <t>Ctrl+F → 'BR-WH' hoặc 'SLA'</t>
        </is>
      </c>
    </row>
    <row r="22" ht="16.5" customHeight="1" s="98">
      <c r="B22" s="23" t="inlineStr">
        <is>
          <t>BR-MFG-XX</t>
        </is>
      </c>
      <c r="C22" s="16" t="inlineStr">
        <is>
          <t>FRD-05-manufacturing.md</t>
        </is>
      </c>
      <c r="D22" s="17" t="inlineStr">
        <is>
          <t>Rule Manufacturing số XX</t>
        </is>
      </c>
      <c r="E22" s="18" t="inlineStr">
        <is>
          <t>Ctrl+F → 'BR-MFG' hoặc 'Defect'</t>
        </is>
      </c>
    </row>
    <row r="23" ht="16.5" customHeight="1" s="98">
      <c r="B23" s="24" t="inlineStr">
        <is>
          <t>BR-ACC-XX</t>
        </is>
      </c>
      <c r="C23" s="20" t="inlineStr">
        <is>
          <t>FRD-06-accounting.md</t>
        </is>
      </c>
      <c r="D23" s="21" t="inlineStr">
        <is>
          <t>Rule Accounting số XX</t>
        </is>
      </c>
      <c r="E23" s="22" t="inlineStr">
        <is>
          <t>Ctrl+F → 'BR-ACC' hoặc 'DSO'</t>
        </is>
      </c>
    </row>
    <row r="24" ht="16.5" customHeight="1" s="98">
      <c r="B24" s="23" t="inlineStr">
        <is>
          <t>BR-HR-XX</t>
        </is>
      </c>
      <c r="C24" s="16" t="inlineStr">
        <is>
          <t>FRD-07-08-hr-dataops.md</t>
        </is>
      </c>
      <c r="D24" s="17" t="inlineStr">
        <is>
          <t>Rule HR số XX</t>
        </is>
      </c>
      <c r="E24" s="18" t="inlineStr">
        <is>
          <t>Ctrl+F → 'BR-HR' hoặc 'contract'</t>
        </is>
      </c>
    </row>
    <row r="25" ht="16.5" customHeight="1" s="98">
      <c r="B25" s="24" t="inlineStr">
        <is>
          <t>BR-DATA-XX</t>
        </is>
      </c>
      <c r="C25" s="20" t="inlineStr">
        <is>
          <t>FRD-07-08-hr-dataops.md</t>
        </is>
      </c>
      <c r="D25" s="21" t="inlineStr">
        <is>
          <t>Rule Data Ops số XX</t>
        </is>
      </c>
      <c r="E25" s="22" t="inlineStr">
        <is>
          <t>Ctrl+F → 'BR-DATA' hoặc 'DAG'</t>
        </is>
      </c>
    </row>
    <row r="27" ht="21.75" customHeight="1" s="98">
      <c r="B27" s="105" t="inlineStr">
        <is>
          <t xml:space="preserve">  §  BẢNG 3 — §Y.Z   Ký hiệu Section trong file tài liệu</t>
        </is>
      </c>
    </row>
    <row r="28" ht="16.5" customHeight="1" s="98">
      <c r="B28" s="25" t="inlineStr">
        <is>
          <t>Ký hiệu</t>
        </is>
      </c>
      <c r="C28" s="25" t="inlineStr">
        <is>
          <t>Nghĩa là</t>
        </is>
      </c>
      <c r="D28" s="25" t="inlineStr">
        <is>
          <t>Ví dụ</t>
        </is>
      </c>
      <c r="E28" s="25" t="inlineStr">
        <is>
          <t>Cách tìm</t>
        </is>
      </c>
    </row>
    <row r="29" ht="16.5" customHeight="1" s="98">
      <c r="B29" s="26" t="inlineStr">
        <is>
          <t>FRD-06 §5.3</t>
        </is>
      </c>
      <c r="C29" s="17" t="inlineStr">
        <is>
          <t>FRD-06, Section 5, subsection 3</t>
        </is>
      </c>
      <c r="D29" s="18" t="inlineStr">
        <is>
          <t>Heading '5.3 Month-end Closing SOP'</t>
        </is>
      </c>
      <c r="E29" s="18" t="inlineStr">
        <is>
          <t>Ctrl+F → '5.3'</t>
        </is>
      </c>
    </row>
    <row r="30" ht="16.5" customHeight="1" s="98">
      <c r="B30" s="27" t="inlineStr">
        <is>
          <t>FRD-08 §4 SOP</t>
        </is>
      </c>
      <c r="C30" s="21" t="inlineStr">
        <is>
          <t>FRD-08, Section 4 (tiêu đề có SOP)</t>
        </is>
      </c>
      <c r="D30" s="22" t="inlineStr">
        <is>
          <t>Heading '4. Daily Data Ops SOP'</t>
        </is>
      </c>
      <c r="E30" s="22" t="inlineStr">
        <is>
          <t>Ctrl+F → '§4' hoặc 'SOP'</t>
        </is>
      </c>
    </row>
    <row r="31" ht="16.5" customHeight="1" s="98">
      <c r="B31" s="26" t="inlineStr">
        <is>
          <t>FRD-01 §1 KPI</t>
        </is>
      </c>
      <c r="C31" s="17" t="inlineStr">
        <is>
          <t>FRD-01, Section 1, phần KPI table</t>
        </is>
      </c>
      <c r="D31" s="18" t="inlineStr">
        <is>
          <t>Heading '1. KPI &amp; Ngưỡng'</t>
        </is>
      </c>
      <c r="E31" s="18" t="inlineStr">
        <is>
          <t>Ctrl+F → '§1' hoặc 'KPI'</t>
        </is>
      </c>
    </row>
    <row r="33" ht="21.75" customHeight="1" s="98">
      <c r="B33" s="99" t="inlineStr">
        <is>
          <t xml:space="preserve">  📊  BẢNG 4 — KPI Glossary   Từ viết tắt hay gặp trong worksheet</t>
        </is>
      </c>
    </row>
    <row r="34" ht="16.5" customHeight="1" s="98">
      <c r="B34" s="14" t="inlineStr">
        <is>
          <t>Viết tắt</t>
        </is>
      </c>
      <c r="C34" s="14" t="inlineStr">
        <is>
          <t>Tên đầy đủ</t>
        </is>
      </c>
      <c r="D34" s="14" t="inlineStr">
        <is>
          <t>Định nghĩa</t>
        </is>
      </c>
      <c r="E34" s="14" t="inlineStr">
        <is>
          <t>Nguồn &amp; Ngưỡng</t>
        </is>
      </c>
    </row>
    <row r="35" ht="16.5" customHeight="1" s="98">
      <c r="B35" s="28" t="inlineStr">
        <is>
          <t>DSO</t>
        </is>
      </c>
      <c r="C35" s="17" t="inlineStr">
        <is>
          <t>Days Sales Outstanding</t>
        </is>
      </c>
      <c r="D35" s="17" t="inlineStr">
        <is>
          <t>Số ngày TB thu hồi công nợ KH</t>
        </is>
      </c>
      <c r="E35" s="18" t="inlineStr">
        <is>
          <t>FRD-06 KPI — ≤ 38 ngày</t>
        </is>
      </c>
    </row>
    <row r="36" ht="16.5" customHeight="1" s="98">
      <c r="B36" s="29" t="inlineStr">
        <is>
          <t>DPO</t>
        </is>
      </c>
      <c r="C36" s="21" t="inlineStr">
        <is>
          <t>Days Payable Outstanding</t>
        </is>
      </c>
      <c r="D36" s="21" t="inlineStr">
        <is>
          <t>Số ngày TB thanh toán cho NCC</t>
        </is>
      </c>
      <c r="E36" s="22" t="inlineStr">
        <is>
          <t>FRD-06 KPI — 28–35 ngày</t>
        </is>
      </c>
    </row>
    <row r="37" ht="16.5" customHeight="1" s="98">
      <c r="B37" s="28" t="inlineStr">
        <is>
          <t>OTD</t>
        </is>
      </c>
      <c r="C37" s="17" t="inlineStr">
        <is>
          <t>On-Time Delivery</t>
        </is>
      </c>
      <c r="D37" s="17" t="inlineStr">
        <is>
          <t>% đơn giao đúng/trước SLA</t>
        </is>
      </c>
      <c r="E37" s="18" t="inlineStr">
        <is>
          <t>FRD-04 KPI — ≥ 92%</t>
        </is>
      </c>
    </row>
    <row r="38" ht="16.5" customHeight="1" s="98">
      <c r="B38" s="29" t="inlineStr">
        <is>
          <t>AOV</t>
        </is>
      </c>
      <c r="C38" s="21" t="inlineStr">
        <is>
          <t>Average Order Value</t>
        </is>
      </c>
      <c r="D38" s="21" t="inlineStr">
        <is>
          <t>Giá trị TB mỗi đơn hàng</t>
        </is>
      </c>
      <c r="E38" s="22" t="inlineStr">
        <is>
          <t>FRD-01 KPI — ≥ $450/đơn</t>
        </is>
      </c>
    </row>
    <row r="39" ht="16.5" customHeight="1" s="98">
      <c r="B39" s="28" t="inlineStr">
        <is>
          <t>ROAS</t>
        </is>
      </c>
      <c r="C39" s="17" t="inlineStr">
        <is>
          <t>Return on Ad Spend</t>
        </is>
      </c>
      <c r="D39" s="17" t="inlineStr">
        <is>
          <t>Doanh thu / Chi phí quảng cáo</t>
        </is>
      </c>
      <c r="E39" s="18" t="inlineStr">
        <is>
          <t>FRD-02 KPI — ≥ 3.0× ; ≥ 2.0× từng kênh</t>
        </is>
      </c>
    </row>
    <row r="40" ht="16.5" customHeight="1" s="98">
      <c r="B40" s="29" t="inlineStr">
        <is>
          <t>CAC</t>
        </is>
      </c>
      <c r="C40" s="21" t="inlineStr">
        <is>
          <t>Customer Acquisition Cost</t>
        </is>
      </c>
      <c r="D40" s="21" t="inlineStr">
        <is>
          <t>Chi phí để có 1 KH mới</t>
        </is>
      </c>
      <c r="E40" s="22" t="inlineStr">
        <is>
          <t>FRD-02 KPI — ≤ $85 ; ceiling $120</t>
        </is>
      </c>
    </row>
    <row r="41" ht="16.5" customHeight="1" s="98">
      <c r="B41" s="28" t="inlineStr">
        <is>
          <t>OEE</t>
        </is>
      </c>
      <c r="C41" s="17" t="inlineStr">
        <is>
          <t>Overall Equipment Effectiveness</t>
        </is>
      </c>
      <c r="D41" s="17" t="inlineStr">
        <is>
          <t>Availability × Performance × Quality</t>
        </is>
      </c>
      <c r="E41" s="18" t="inlineStr">
        <is>
          <t>FRD-05 KPI — ≥ 85%</t>
        </is>
      </c>
    </row>
    <row r="42" ht="16.5" customHeight="1" s="98">
      <c r="B42" s="29" t="inlineStr">
        <is>
          <t>CTR</t>
        </is>
      </c>
      <c r="C42" s="21" t="inlineStr">
        <is>
          <t>Click-Through Rate</t>
        </is>
      </c>
      <c r="D42" s="21" t="inlineStr">
        <is>
          <t>% người click / người nhận email</t>
        </is>
      </c>
      <c r="E42" s="22" t="inlineStr">
        <is>
          <t>FRD-02 KPI — ≥ 3.5%</t>
        </is>
      </c>
    </row>
    <row r="43" ht="16.5" customHeight="1" s="98">
      <c r="B43" s="28" t="inlineStr">
        <is>
          <t>3-way match</t>
        </is>
      </c>
      <c r="C43" s="17" t="inlineStr">
        <is>
          <t>3-Way Match</t>
        </is>
      </c>
      <c r="D43" s="17" t="inlineStr">
        <is>
          <t>PO ↔ Goods Receipt ↔ Vendor Bill phải khớp</t>
        </is>
      </c>
      <c r="E43" s="18" t="inlineStr">
        <is>
          <t>BR-PUR-04, BR-ACC-07 — 100%</t>
        </is>
      </c>
    </row>
    <row r="44" ht="16.5" customHeight="1" s="98">
      <c r="B44" s="29" t="inlineStr">
        <is>
          <t>Fill Rate</t>
        </is>
      </c>
      <c r="C44" s="21" t="inlineStr">
        <is>
          <t>Order Fill Rate</t>
        </is>
      </c>
      <c r="D44" s="21" t="inlineStr">
        <is>
          <t>% dòng đơn giao đủ số lượng</t>
        </is>
      </c>
      <c r="E44" s="22" t="inlineStr">
        <is>
          <t>FRD-04 KPI — ≥ 95%</t>
        </is>
      </c>
    </row>
    <row r="45" ht="16.5" customHeight="1" s="98">
      <c r="B45" s="28" t="inlineStr">
        <is>
          <t>Plan Att.</t>
        </is>
      </c>
      <c r="C45" s="17" t="inlineStr">
        <is>
          <t>Plan Attainment</t>
        </is>
      </c>
      <c r="D45" s="17" t="inlineStr">
        <is>
          <t>% kế hoạch sản xuất thực hiện được</t>
        </is>
      </c>
      <c r="E45" s="18" t="inlineStr">
        <is>
          <t>BR-MFG-07 — max 1,100 sp/tháng</t>
        </is>
      </c>
    </row>
    <row r="46" ht="16.5" customHeight="1" s="98">
      <c r="B46" s="29" t="inlineStr">
        <is>
          <t>Repeat Rate</t>
        </is>
      </c>
      <c r="C46" s="21" t="inlineStr">
        <is>
          <t>Repeat Purchase Rate</t>
        </is>
      </c>
      <c r="D46" s="21" t="inlineStr">
        <is>
          <t>% KH mua lại trong kỳ</t>
        </is>
      </c>
      <c r="E46" s="22" t="inlineStr">
        <is>
          <t>FRD-01 KPI — ≥ 40%/quý</t>
        </is>
      </c>
    </row>
    <row r="47" ht="16.5" customHeight="1" s="98">
      <c r="B47" s="28" t="inlineStr">
        <is>
          <t>Conv%</t>
        </is>
      </c>
      <c r="C47" s="17" t="inlineStr">
        <is>
          <t>Lead→SO Conversion Rate</t>
        </is>
      </c>
      <c r="D47" s="17" t="inlineStr">
        <is>
          <t>% Lead chuyển thành Sales Order</t>
        </is>
      </c>
      <c r="E47" s="18" t="inlineStr">
        <is>
          <t>FRD-01 KPI — ≥ 25%</t>
        </is>
      </c>
    </row>
    <row r="49" ht="21.75" customHeight="1" s="98">
      <c r="B49" s="106" t="inlineStr">
        <is>
          <t xml:space="preserve">  💡  TIPS — Cách tra cứu nhanh</t>
        </is>
      </c>
    </row>
    <row r="50" ht="19.5" customHeight="1" s="98">
      <c r="B50" s="30" t="inlineStr">
        <is>
          <t>▶  Tìm KPI của domain</t>
        </is>
      </c>
      <c r="C50" s="103" t="inlineStr">
        <is>
          <t>Mở FRD-XX.md  →  Ctrl+F → 'KPI'  → nhảy đến section liệt kê KPI + ngưỡng</t>
        </is>
      </c>
    </row>
    <row r="51" ht="19.5" customHeight="1" s="98">
      <c r="B51" s="30" t="inlineStr">
        <is>
          <t>▶  Tìm Business Rule</t>
        </is>
      </c>
      <c r="C51" s="107" t="inlineStr">
        <is>
          <t>Ctrl+F → gõ đúng BR-XXX-YY  VD: 'BR-MFG-05'  hoặc gõ nội dung: 'Defect Rate'</t>
        </is>
      </c>
    </row>
    <row r="52" ht="19.5" customHeight="1" s="98">
      <c r="B52" s="30" t="inlineStr">
        <is>
          <t>▶  Tìm §Y.Z section</t>
        </is>
      </c>
      <c r="C52" s="103" t="inlineStr">
        <is>
          <t>Ctrl+F → gõ 'Y.Z'  VD: '5.3'  hoặc gõ nội dung của section đó</t>
        </is>
      </c>
    </row>
    <row r="53" ht="19.5" customHeight="1" s="98">
      <c r="B53" s="30" t="inlineStr">
        <is>
          <t>▶  Ký hiệu trông khác nhau trong các file</t>
        </is>
      </c>
      <c r="C53" s="107" t="inlineStr">
        <is>
          <t>Bình thường — FRD-01 / FR-SAL / BR-SAL đều chỉ cùng 1 domain: Sales</t>
        </is>
      </c>
    </row>
    <row r="54" ht="19.5" customHeight="1" s="98">
      <c r="B54" s="30" t="inlineStr">
        <is>
          <t>▶  Từ worksheet → tài liệu gốc</t>
        </is>
      </c>
      <c r="C54" s="103" t="inlineStr">
        <is>
          <t>Xem cột Nguồn Tài Liệu → copy ký hiệu → tra Bảng 1/2/3 bên trên → mở đúng file .md</t>
        </is>
      </c>
    </row>
    <row r="56" ht="15.75" customHeight="1" s="98">
      <c r="B56" s="104" t="inlineStr">
        <is>
          <t>Superstore ERP &amp; Data Platform — File index: SUPERSTORE-PROJECT-INDEX.md  ·  Data Dictionary: data_dictionary.csv</t>
        </is>
      </c>
    </row>
    <row r="58">
      <c r="B58" s="116" t="inlineStr">
        <is>
          <t xml:space="preserve">  🆕  BẢNG 5 — RPT-xx   Ký hiệu Report (v3 — thay cho 19 dashboard rời)</t>
        </is>
      </c>
    </row>
    <row r="59">
      <c r="B59" s="117" t="inlineStr">
        <is>
          <t>Ký hiệu</t>
        </is>
      </c>
      <c r="C59" s="117" t="inlineStr">
        <is>
          <t>Report Name</t>
        </is>
      </c>
      <c r="D59" s="117" t="inlineStr">
        <is>
          <t>Xem ở Sheet</t>
        </is>
      </c>
      <c r="E59" s="117" t="inlineStr">
        <is>
          <t>Số page gộp</t>
        </is>
      </c>
    </row>
    <row r="60">
      <c r="B60" s="118" t="inlineStr">
        <is>
          <t>RPT-01</t>
        </is>
      </c>
      <c r="C60" s="118" t="inlineStr">
        <is>
          <t>Executive</t>
        </is>
      </c>
      <c r="D60" s="118" t="inlineStr">
        <is>
          <t>4️⃣ Dashboard Blueprint + 6️⃣ Data Source Map</t>
        </is>
      </c>
      <c r="E60" s="118" t="inlineStr">
        <is>
          <t>2</t>
        </is>
      </c>
    </row>
    <row r="61">
      <c r="B61" s="119" t="inlineStr">
        <is>
          <t>RPT-02</t>
        </is>
      </c>
      <c r="C61" s="119" t="inlineStr">
        <is>
          <t>Finance</t>
        </is>
      </c>
      <c r="D61" s="119" t="inlineStr">
        <is>
          <t>4️⃣ Dashboard Blueprint + 6️⃣ Data Source Map</t>
        </is>
      </c>
      <c r="E61" s="119" t="inlineStr">
        <is>
          <t>4</t>
        </is>
      </c>
    </row>
    <row r="62">
      <c r="B62" s="118" t="inlineStr">
        <is>
          <t>RPT-03</t>
        </is>
      </c>
      <c r="C62" s="118" t="inlineStr">
        <is>
          <t>AR/AP</t>
        </is>
      </c>
      <c r="D62" s="118" t="inlineStr">
        <is>
          <t>4️⃣ Dashboard Blueprint + 6️⃣ Data Source Map</t>
        </is>
      </c>
      <c r="E62" s="118" t="inlineStr">
        <is>
          <t>2</t>
        </is>
      </c>
    </row>
    <row r="63">
      <c r="B63" s="119" t="inlineStr">
        <is>
          <t>RPT-04</t>
        </is>
      </c>
      <c r="C63" s="119" t="inlineStr">
        <is>
          <t>Sales</t>
        </is>
      </c>
      <c r="D63" s="119" t="inlineStr">
        <is>
          <t>4️⃣ Dashboard Blueprint + 6️⃣ Data Source Map</t>
        </is>
      </c>
      <c r="E63" s="119" t="inlineStr">
        <is>
          <t>2</t>
        </is>
      </c>
    </row>
    <row r="64">
      <c r="B64" s="118" t="inlineStr">
        <is>
          <t>RPT-05</t>
        </is>
      </c>
      <c r="C64" s="118" t="inlineStr">
        <is>
          <t>Product &amp; Pricing</t>
        </is>
      </c>
      <c r="D64" s="118" t="inlineStr">
        <is>
          <t>4️⃣ Dashboard Blueprint + 6️⃣ Data Source Map</t>
        </is>
      </c>
      <c r="E64" s="118" t="inlineStr">
        <is>
          <t>2</t>
        </is>
      </c>
    </row>
    <row r="65">
      <c r="B65" s="119" t="inlineStr">
        <is>
          <t>RPT-06</t>
        </is>
      </c>
      <c r="C65" s="119" t="inlineStr">
        <is>
          <t>Customer Analytics</t>
        </is>
      </c>
      <c r="D65" s="119" t="inlineStr">
        <is>
          <t>4️⃣ Dashboard Blueprint + 6️⃣ Data Source Map</t>
        </is>
      </c>
      <c r="E65" s="119" t="inlineStr">
        <is>
          <t>2</t>
        </is>
      </c>
    </row>
    <row r="66">
      <c r="B66" s="118" t="inlineStr">
        <is>
          <t>RPT-07</t>
        </is>
      </c>
      <c r="C66" s="118" t="inlineStr">
        <is>
          <t>Marketing ROAS</t>
        </is>
      </c>
      <c r="D66" s="118" t="inlineStr">
        <is>
          <t>4️⃣ Dashboard Blueprint + 6️⃣ Data Source Map</t>
        </is>
      </c>
      <c r="E66" s="118" t="inlineStr">
        <is>
          <t>1</t>
        </is>
      </c>
    </row>
    <row r="67">
      <c r="B67" s="119" t="inlineStr">
        <is>
          <t>RPT-08</t>
        </is>
      </c>
      <c r="C67" s="119" t="inlineStr">
        <is>
          <t>Logistics &amp; Inventory</t>
        </is>
      </c>
      <c r="D67" s="119" t="inlineStr">
        <is>
          <t>4️⃣ Dashboard Blueprint + 6️⃣ Data Source Map</t>
        </is>
      </c>
      <c r="E67" s="119" t="inlineStr">
        <is>
          <t>1</t>
        </is>
      </c>
    </row>
    <row r="68">
      <c r="B68" s="118" t="inlineStr">
        <is>
          <t>RPT-09</t>
        </is>
      </c>
      <c r="C68" s="118" t="inlineStr">
        <is>
          <t>Manufacturing OEE</t>
        </is>
      </c>
      <c r="D68" s="118" t="inlineStr">
        <is>
          <t>4️⃣ Dashboard Blueprint + 6️⃣ Data Source Map</t>
        </is>
      </c>
      <c r="E68" s="118" t="inlineStr">
        <is>
          <t>1</t>
        </is>
      </c>
    </row>
    <row r="69">
      <c r="B69" s="119" t="inlineStr">
        <is>
          <t>RPT-10</t>
        </is>
      </c>
      <c r="C69" s="119" t="inlineStr">
        <is>
          <t>HR Headcount</t>
        </is>
      </c>
      <c r="D69" s="119" t="inlineStr">
        <is>
          <t>4️⃣ Dashboard Blueprint + 6️⃣ Data Source Map</t>
        </is>
      </c>
      <c r="E69" s="119" t="inlineStr">
        <is>
          <t>1</t>
        </is>
      </c>
    </row>
    <row r="70">
      <c r="B70" s="118" t="inlineStr">
        <is>
          <t>RPT-11</t>
        </is>
      </c>
      <c r="C70" s="118" t="inlineStr">
        <is>
          <t>Data Ops Health</t>
        </is>
      </c>
      <c r="D70" s="118" t="inlineStr">
        <is>
          <t>4️⃣ Dashboard Blueprint + 6️⃣ Data Source Map</t>
        </is>
      </c>
      <c r="E70" s="118" t="inlineStr">
        <is>
          <t>1</t>
        </is>
      </c>
    </row>
    <row r="72">
      <c r="B72" s="116" t="inlineStr">
        <is>
          <t xml:space="preserve">  🆕  BẢNG 6 — Q-xx   Ký hiệu Question Registry (v3 — điểm kết nối mới)</t>
        </is>
      </c>
    </row>
    <row r="73">
      <c r="B73" s="117" t="inlineStr">
        <is>
          <t>Ký hiệu</t>
        </is>
      </c>
      <c r="C73" s="117" t="inlineStr">
        <is>
          <t>Ý nghĩa</t>
        </is>
      </c>
      <c r="D73" s="117" t="inlineStr">
        <is>
          <t>Xem ở Sheet</t>
        </is>
      </c>
      <c r="E73" s="117" t="inlineStr">
        <is>
          <t>Cách tìm</t>
        </is>
      </c>
    </row>
    <row r="74">
      <c r="B74" s="118" t="inlineStr">
        <is>
          <t>Q-01 → Q-31</t>
        </is>
      </c>
      <c r="C74" s="118" t="inlineStr">
        <is>
          <t>Câu hỏi ưu tiên của từng stakeholder (đã khử trùng lặp từ 1️⃣ bản gốc)</t>
        </is>
      </c>
      <c r="D74" s="118" t="inlineStr">
        <is>
          <t>❔ Question Registry</t>
        </is>
      </c>
      <c r="E74" s="118" t="inlineStr">
        <is>
          <t>Ctrl+F 'Q-xx' để xem Domain/Framework/RPT-ID/BO-ID liên quan</t>
        </is>
      </c>
    </row>
    <row r="75">
      <c r="B75" s="119" t="inlineStr">
        <is>
          <t>STK-xx</t>
        </is>
      </c>
      <c r="C75" s="119" t="inlineStr">
        <is>
          <t>Mã stakeholder (STK-01 → STK-15)</t>
        </is>
      </c>
      <c r="D75" s="119" t="inlineStr">
        <is>
          <t>1️⃣ Stakeholder Map</t>
        </is>
      </c>
      <c r="E75" s="119" t="inlineStr">
        <is>
          <t>Ctrl+F 'STK-xx' hoặc tên stakeholder</t>
        </is>
      </c>
    </row>
    <row r="76">
      <c r="B76" s="118" t="inlineStr">
        <is>
          <t>BO-xx</t>
        </is>
      </c>
      <c r="C76" s="118" t="inlineStr">
        <is>
          <t>Mã Business Objective (BO-01 → BO-08, không đổi từ bản gốc)</t>
        </is>
      </c>
      <c r="D76" s="118" t="inlineStr">
        <is>
          <t>2️⃣ BRD Trace</t>
        </is>
      </c>
      <c r="E76" s="118" t="inlineStr">
        <is>
          <t>Ctrl+F 'BO-xx'</t>
        </is>
      </c>
    </row>
  </sheetData>
  <mergeCells count="13">
    <mergeCell ref="C54:E54"/>
    <mergeCell ref="B56:E56"/>
    <mergeCell ref="C50:E50"/>
    <mergeCell ref="B27:E27"/>
    <mergeCell ref="B49:E49"/>
    <mergeCell ref="C52:E52"/>
    <mergeCell ref="C53:E53"/>
    <mergeCell ref="B16:E16"/>
    <mergeCell ref="B33:E33"/>
    <mergeCell ref="B3:E3"/>
    <mergeCell ref="B5:E5"/>
    <mergeCell ref="B2:E2"/>
    <mergeCell ref="C51:E5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tabSelected="0" zoomScale="170" zoomScaleNormal="170" workbookViewId="0">
      <pane ySplit="2" topLeftCell="A3" activePane="bottomLeft" state="frozen"/>
      <selection pane="bottomLeft" activeCell="C1" sqref="C1"/>
      <selection pane="bottomLeft" activeCell="A3" sqref="A3"/>
      <selection pane="bottomRight" activeCell="I6" sqref="I6"/>
    </sheetView>
  </sheetViews>
  <sheetFormatPr baseColWidth="10" defaultColWidth="8.83203125" defaultRowHeight="15"/>
  <cols>
    <col width="9" customWidth="1" style="98" min="1" max="1"/>
    <col width="16" customWidth="1" style="98" min="2" max="2"/>
    <col width="34" customWidth="1" style="98" min="3" max="3"/>
    <col width="20" customWidth="1" style="98" min="4" max="4"/>
    <col width="30" customWidth="1" style="98" min="5" max="5"/>
    <col width="22" customWidth="1" style="98" min="6" max="6"/>
    <col width="16" customWidth="1" style="98" min="7" max="8"/>
    <col width="28" customWidth="1" style="98" min="9" max="9"/>
    <col width="18" customWidth="1" style="98" min="10" max="10"/>
    <col width="14" customWidth="1" style="98" min="11" max="11"/>
  </cols>
  <sheetData>
    <row r="1" ht="30" customHeight="1" s="98">
      <c r="A1" s="113" t="inlineStr">
        <is>
          <t>1️⃣  STAKEHOLDER MAP — Superstore Inc. | Nguồn: BRD §4 + FRD-01→08 §1 | v3: Câu Hỏi/Framework → Question Registry; +6 stakeholder thiếu ở bản gốc</t>
        </is>
      </c>
      <c r="B1" s="114" t="n"/>
      <c r="C1" s="114" t="n"/>
      <c r="D1" s="114" t="n"/>
      <c r="E1" s="114" t="n"/>
      <c r="F1" s="114" t="n"/>
      <c r="G1" s="114" t="n"/>
    </row>
    <row r="2" ht="32" customHeight="1" s="98">
      <c r="A2" s="117" t="inlineStr">
        <is>
          <t>STK-ID</t>
        </is>
      </c>
      <c r="B2" s="117" t="inlineStr">
        <is>
          <t>Tên</t>
        </is>
      </c>
      <c r="C2" s="117" t="inlineStr">
        <is>
          <t>Vai Trò</t>
        </is>
      </c>
      <c r="D2" s="117" t="inlineStr">
        <is>
          <t>Domain Chính</t>
        </is>
      </c>
      <c r="E2" s="117" t="inlineStr">
        <is>
          <t>RPT-ID Phục Vụ (Sheet 4️⃣)</t>
        </is>
      </c>
      <c r="F2" s="117" t="inlineStr">
        <is>
          <t>Tần Suất Review</t>
        </is>
      </c>
      <c r="G2" s="117" t="inlineStr">
        <is>
          <t>Mức Ưu Tiên</t>
        </is>
      </c>
    </row>
    <row r="3" ht="30" customHeight="1" s="98">
      <c r="A3" s="124" t="inlineStr">
        <is>
          <t>STK-01</t>
        </is>
      </c>
      <c r="B3" s="125" t="inlineStr">
        <is>
          <t>Michael Tran</t>
        </is>
      </c>
      <c r="C3" s="118" t="inlineStr">
        <is>
          <t>CEO</t>
        </is>
      </c>
      <c r="D3" s="118" t="inlineStr">
        <is>
          <t>E-com/Retail + Finance</t>
        </is>
      </c>
      <c r="E3" s="118" t="inlineStr">
        <is>
          <t>RPT-01, RPT-11 (alert only)</t>
        </is>
      </c>
      <c r="F3" s="118" t="inlineStr">
        <is>
          <t>Hằng ngày</t>
        </is>
      </c>
      <c r="G3" s="125" t="inlineStr">
        <is>
          <t>🔴 Cao nhất</t>
        </is>
      </c>
    </row>
    <row r="4" ht="30" customHeight="1" s="98">
      <c r="A4" s="126" t="inlineStr">
        <is>
          <t>STK-02</t>
        </is>
      </c>
      <c r="B4" s="127" t="inlineStr">
        <is>
          <t>Sarah Whitman</t>
        </is>
      </c>
      <c r="C4" s="119" t="inlineStr">
        <is>
          <t>CFO (chiến lược — P&amp;L, cash, forecast, margin theo BU)</t>
        </is>
      </c>
      <c r="D4" s="119" t="inlineStr">
        <is>
          <t>Finance / Banking</t>
        </is>
      </c>
      <c r="E4" s="119" t="inlineStr">
        <is>
          <t>RPT-02, RPT-03, RPT-05, RPT-10, RPT-11 (alert only)</t>
        </is>
      </c>
      <c r="F4" s="119" t="inlineStr">
        <is>
          <t>Hàng tháng (P&amp;L/CF/BS) · Hằng ngày (AR)</t>
        </is>
      </c>
      <c r="G4" s="127" t="inlineStr">
        <is>
          <t>🔴 Cao nhất</t>
        </is>
      </c>
    </row>
    <row r="5" ht="30" customHeight="1" s="98">
      <c r="A5" s="124" t="inlineStr">
        <is>
          <t>STK-03</t>
        </is>
      </c>
      <c r="B5" s="125" t="inlineStr">
        <is>
          <t>David Okafor</t>
        </is>
      </c>
      <c r="C5" s="118" t="inlineStr">
        <is>
          <t>Sales Director</t>
        </is>
      </c>
      <c r="D5" s="118" t="inlineStr">
        <is>
          <t>E-com/Retail</t>
        </is>
      </c>
      <c r="E5" s="118" t="inlineStr">
        <is>
          <t>RPT-04, RPT-05, RPT-06</t>
        </is>
      </c>
      <c r="F5" s="118" t="inlineStr">
        <is>
          <t>Hàng ngày</t>
        </is>
      </c>
      <c r="G5" s="125" t="inlineStr">
        <is>
          <t>🔴 Cao</t>
        </is>
      </c>
    </row>
    <row r="6" ht="30" customHeight="1" s="98">
      <c r="A6" s="126" t="inlineStr">
        <is>
          <t>STK-04</t>
        </is>
      </c>
      <c r="B6" s="127" t="inlineStr">
        <is>
          <t>Anna Kowalski</t>
        </is>
      </c>
      <c r="C6" s="119" t="inlineStr">
        <is>
          <t>Marketing Manager</t>
        </is>
      </c>
      <c r="D6" s="119" t="inlineStr">
        <is>
          <t>Digital Marketing</t>
        </is>
      </c>
      <c r="E6" s="119" t="inlineStr">
        <is>
          <t>RPT-06, RPT-07</t>
        </is>
      </c>
      <c r="F6" s="119" t="inlineStr">
        <is>
          <t>Hàng tháng · Campaign: Hàng tuần</t>
        </is>
      </c>
      <c r="G6" s="127" t="inlineStr">
        <is>
          <t>🟡 Trung bình-cao</t>
        </is>
      </c>
    </row>
    <row r="7" ht="30" customHeight="1" s="98">
      <c r="A7" s="124" t="inlineStr">
        <is>
          <t>STK-05</t>
        </is>
      </c>
      <c r="B7" s="125" t="inlineStr">
        <is>
          <t>James Park</t>
        </is>
      </c>
      <c r="C7" s="118" t="inlineStr">
        <is>
          <t>Warehouse Manager</t>
        </is>
      </c>
      <c r="D7" s="118" t="inlineStr">
        <is>
          <t>Logistics / Supply Chain</t>
        </is>
      </c>
      <c r="E7" s="118" t="inlineStr">
        <is>
          <t>RPT-08</t>
        </is>
      </c>
      <c r="F7" s="118" t="inlineStr">
        <is>
          <t>Hàng ngày</t>
        </is>
      </c>
      <c r="G7" s="125" t="inlineStr">
        <is>
          <t>🔴 Cao</t>
        </is>
      </c>
    </row>
    <row r="8" ht="30" customHeight="1" s="98">
      <c r="A8" s="126" t="inlineStr">
        <is>
          <t>STK-06</t>
        </is>
      </c>
      <c r="B8" s="127" t="inlineStr">
        <is>
          <t>Elena Rodriguez</t>
        </is>
      </c>
      <c r="C8" s="119" t="inlineStr">
        <is>
          <t>Plant Manager</t>
        </is>
      </c>
      <c r="D8" s="119" t="inlineStr">
        <is>
          <t>Production / Manufacturing</t>
        </is>
      </c>
      <c r="E8" s="119" t="inlineStr">
        <is>
          <t>RPT-09</t>
        </is>
      </c>
      <c r="F8" s="119" t="inlineStr">
        <is>
          <t>Hàng ngày</t>
        </is>
      </c>
      <c r="G8" s="127" t="inlineStr">
        <is>
          <t>🟡 Trung bình-cao</t>
        </is>
      </c>
    </row>
    <row r="9" ht="30" customHeight="1" s="98">
      <c r="A9" s="124" t="inlineStr">
        <is>
          <t>STK-07</t>
        </is>
      </c>
      <c r="B9" s="125" t="inlineStr">
        <is>
          <t>Priya Sharma</t>
        </is>
      </c>
      <c r="C9" s="118" t="inlineStr">
        <is>
          <t>Purchasing Manager</t>
        </is>
      </c>
      <c r="D9" s="118" t="inlineStr">
        <is>
          <t>Logistics / Supply Chain</t>
        </is>
      </c>
      <c r="E9" s="118" t="inlineStr">
        <is>
          <t>RPT-08, RPT-03</t>
        </is>
      </c>
      <c r="F9" s="118" t="inlineStr">
        <is>
          <t>Hàng tuần</t>
        </is>
      </c>
      <c r="G9" s="125" t="inlineStr">
        <is>
          <t>🟡 Trung bình-cao</t>
        </is>
      </c>
    </row>
    <row r="10" ht="30" customHeight="1" s="98">
      <c r="A10" s="126" t="inlineStr">
        <is>
          <t>STK-08</t>
        </is>
      </c>
      <c r="B10" s="127" t="inlineStr">
        <is>
          <t>Robert Hayes</t>
        </is>
      </c>
      <c r="C10" s="119" t="inlineStr">
        <is>
          <t>Chief Accountant (vận hành — đóng sổ D+5, đối chiếu, chi tiết AR/AP)</t>
        </is>
      </c>
      <c r="D10" s="119" t="inlineStr">
        <is>
          <t>Finance / Banking</t>
        </is>
      </c>
      <c r="E10" s="119" t="inlineStr">
        <is>
          <t>RPT-02, RPT-03</t>
        </is>
      </c>
      <c r="F10" s="119" t="inlineStr">
        <is>
          <t>Hàng ngày (AR/AP) · Hàng tháng (P&amp;L)</t>
        </is>
      </c>
      <c r="G10" s="127" t="inlineStr">
        <is>
          <t>🔴 Cao</t>
        </is>
      </c>
    </row>
    <row r="11" ht="30" customHeight="1" s="98">
      <c r="A11" s="124" t="inlineStr">
        <is>
          <t>STK-09</t>
        </is>
      </c>
      <c r="B11" s="125" t="inlineStr">
        <is>
          <t>—</t>
        </is>
      </c>
      <c r="C11" s="118" t="inlineStr">
        <is>
          <t>Data Analyst — IT &amp; Data</t>
        </is>
      </c>
      <c r="D11" s="118" t="inlineStr">
        <is>
          <t>Data Ops / All Domains</t>
        </is>
      </c>
      <c r="E11" s="118" t="inlineStr">
        <is>
          <t>RPT-11</t>
        </is>
      </c>
      <c r="F11" s="118" t="inlineStr">
        <is>
          <t>Hàng ngày (auto-alert)</t>
        </is>
      </c>
      <c r="G11" s="125" t="inlineStr">
        <is>
          <t>🔴 Cao</t>
        </is>
      </c>
    </row>
    <row r="12" ht="30" customHeight="1" s="98">
      <c r="A12" s="126" t="inlineStr">
        <is>
          <t>STK-10</t>
        </is>
      </c>
      <c r="B12" s="127" t="inlineStr">
        <is>
          <t>—</t>
        </is>
      </c>
      <c r="C12" s="119" t="inlineStr">
        <is>
          <t>AR Specialist (mới bổ sung v3 — thiếu ở bản gốc)</t>
        </is>
      </c>
      <c r="D12" s="119" t="inlineStr">
        <is>
          <t>Finance / Banking</t>
        </is>
      </c>
      <c r="E12" s="119" t="inlineStr">
        <is>
          <t>RPT-03</t>
        </is>
      </c>
      <c r="F12" s="119" t="inlineStr">
        <is>
          <t>Hằng ngày</t>
        </is>
      </c>
      <c r="G12" s="127" t="inlineStr">
        <is>
          <t>🔴 Cao</t>
        </is>
      </c>
    </row>
    <row r="13" ht="30" customHeight="1" s="98">
      <c r="A13" s="124" t="inlineStr">
        <is>
          <t>STK-11</t>
        </is>
      </c>
      <c r="B13" s="125" t="inlineStr">
        <is>
          <t>—</t>
        </is>
      </c>
      <c r="C13" s="118" t="inlineStr">
        <is>
          <t>HR Generalist (mới bổ sung v3 — HR Headcount Dashboard từng mồ côi vì thiếu stakeholder này)</t>
        </is>
      </c>
      <c r="D13" s="118" t="inlineStr">
        <is>
          <t>HR + Finance</t>
        </is>
      </c>
      <c r="E13" s="118" t="inlineStr">
        <is>
          <t>RPT-10</t>
        </is>
      </c>
      <c r="F13" s="118" t="inlineStr">
        <is>
          <t>Hàng tuần</t>
        </is>
      </c>
      <c r="G13" s="125" t="inlineStr">
        <is>
          <t>🟡 Trung bình-cao</t>
        </is>
      </c>
    </row>
    <row r="14" ht="30" customHeight="1" s="98">
      <c r="A14" s="126" t="inlineStr">
        <is>
          <t>STK-12</t>
        </is>
      </c>
      <c r="B14" s="127" t="inlineStr">
        <is>
          <t>—</t>
        </is>
      </c>
      <c r="C14" s="119" t="inlineStr">
        <is>
          <t>Regional Sales Manager ×4 (mới bổ sung v3 — thiếu ở bản gốc)</t>
        </is>
      </c>
      <c r="D14" s="119" t="inlineStr">
        <is>
          <t>E-com/Retail</t>
        </is>
      </c>
      <c r="E14" s="119" t="inlineStr">
        <is>
          <t>RPT-04</t>
        </is>
      </c>
      <c r="F14" s="119" t="inlineStr">
        <is>
          <t>Hàng ngày</t>
        </is>
      </c>
      <c r="G14" s="127" t="inlineStr">
        <is>
          <t>🔴 Cao</t>
        </is>
      </c>
    </row>
    <row r="15" ht="30" customHeight="1" s="98">
      <c r="A15" s="124" t="inlineStr">
        <is>
          <t>STK-13</t>
        </is>
      </c>
      <c r="B15" s="125" t="inlineStr">
        <is>
          <t>—</t>
        </is>
      </c>
      <c r="C15" s="118" t="inlineStr">
        <is>
          <t>Production Planner (mới bổ sung v3 — thiếu ở bản gốc)</t>
        </is>
      </c>
      <c r="D15" s="118" t="inlineStr">
        <is>
          <t>Production / Manufacturing</t>
        </is>
      </c>
      <c r="E15" s="118" t="inlineStr">
        <is>
          <t>RPT-09</t>
        </is>
      </c>
      <c r="F15" s="118" t="inlineStr">
        <is>
          <t>Hàng ngày</t>
        </is>
      </c>
      <c r="G15" s="125" t="inlineStr">
        <is>
          <t>🟡 Trung bình-cao</t>
        </is>
      </c>
    </row>
    <row r="16" ht="30" customHeight="1" s="98">
      <c r="A16" s="126" t="inlineStr">
        <is>
          <t>STK-14</t>
        </is>
      </c>
      <c r="B16" s="127" t="inlineStr">
        <is>
          <t>—</t>
        </is>
      </c>
      <c r="C16" s="119" t="inlineStr">
        <is>
          <t>Warehouse Supervisor ×4 (mới bổ sung v3 — thiếu ở bản gốc)</t>
        </is>
      </c>
      <c r="D16" s="119" t="inlineStr">
        <is>
          <t>Logistics / Supply Chain</t>
        </is>
      </c>
      <c r="E16" s="119" t="inlineStr">
        <is>
          <t>RPT-08</t>
        </is>
      </c>
      <c r="F16" s="119" t="inlineStr">
        <is>
          <t>Hàng ngày</t>
        </is>
      </c>
      <c r="G16" s="127" t="inlineStr">
        <is>
          <t>🔴 Cao</t>
        </is>
      </c>
    </row>
    <row r="17" ht="30" customHeight="1" s="98">
      <c r="A17" s="124" t="inlineStr">
        <is>
          <t>STK-15</t>
        </is>
      </c>
      <c r="B17" s="125" t="inlineStr">
        <is>
          <t>—</t>
        </is>
      </c>
      <c r="C17" s="118" t="inlineStr">
        <is>
          <t>Ops Manager (mới bổ sung v3 — thiếu ở bản gốc)</t>
        </is>
      </c>
      <c r="D17" s="118" t="inlineStr">
        <is>
          <t>E-com/Retail</t>
        </is>
      </c>
      <c r="E17" s="118" t="inlineStr">
        <is>
          <t>RPT-04</t>
        </is>
      </c>
      <c r="F17" s="118" t="inlineStr">
        <is>
          <t>Hằng ngày (refresh 06:00AM)</t>
        </is>
      </c>
      <c r="G17" s="125" t="inlineStr">
        <is>
          <t>🔴 Cao</t>
        </is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tabSelected="0" zoomScale="160" zoomScaleNormal="160" workbookViewId="0">
      <pane ySplit="2" topLeftCell="A3" activePane="bottomLeft" state="frozen"/>
      <selection pane="bottomLeft" activeCell="C1" sqref="C1"/>
      <selection pane="bottomLeft" activeCell="A3" sqref="A3"/>
      <selection pane="bottomRight" activeCell="I4" sqref="I4"/>
    </sheetView>
  </sheetViews>
  <sheetFormatPr baseColWidth="10" defaultColWidth="8.83203125" defaultRowHeight="15"/>
  <cols>
    <col width="9" customWidth="1" style="98" min="1" max="1"/>
    <col width="42" customWidth="1" style="98" min="2" max="2"/>
    <col width="30" customWidth="1" style="98" min="3" max="3"/>
    <col width="26" customWidth="1" style="98" min="4" max="4"/>
    <col width="30" customWidth="1" style="98" min="5" max="5"/>
    <col width="20" customWidth="1" style="98" min="6" max="7"/>
    <col width="34" customWidth="1" style="98" min="8" max="8"/>
    <col width="28" customWidth="1" style="98" min="9" max="9"/>
  </cols>
  <sheetData>
    <row r="1" ht="30" customHeight="1" s="98">
      <c r="A1" s="113" t="inlineStr">
        <is>
          <t>2️⃣  BRD TRACE — BO → Success Metric → Owner → Question Registry | Nguồn: BRD §3,6 | v3: cắt Domain/Trục/Framework/Dashboard (nay trace qua Q-ID)</t>
        </is>
      </c>
      <c r="B1" s="114" t="n"/>
      <c r="C1" s="114" t="n"/>
      <c r="D1" s="114" t="n"/>
      <c r="E1" s="114" t="n"/>
    </row>
    <row r="2" ht="32" customHeight="1" s="98">
      <c r="A2" s="117" t="inlineStr">
        <is>
          <t>BO-ID</t>
        </is>
      </c>
      <c r="B2" s="117" t="inlineStr">
        <is>
          <t>Business Objective (BRD §3)</t>
        </is>
      </c>
      <c r="C2" s="117" t="inlineStr">
        <is>
          <t>Success Metric</t>
        </is>
      </c>
      <c r="D2" s="117" t="inlineStr">
        <is>
          <t>STK Owner</t>
        </is>
      </c>
      <c r="E2" s="117" t="inlineStr">
        <is>
          <t>Q-ID Phục Vụ (Sheet ❔)</t>
        </is>
      </c>
    </row>
    <row r="3" ht="44" customHeight="1" s="98">
      <c r="A3" s="124" t="inlineStr">
        <is>
          <t>BO-01</t>
        </is>
      </c>
      <c r="B3" s="118" t="inlineStr">
        <is>
          <t>Single source of truth — không còn báo cáo mâu thuẫn giữa phòng ban
(BRD §3, Vấn đề 1)</t>
        </is>
      </c>
      <c r="C3" s="118" t="inlineStr">
        <is>
          <t>100% báo cáo khớp giữa phòng ban (không còn mâu thuẫn số liệu)</t>
        </is>
      </c>
      <c r="D3" s="118" t="inlineStr">
        <is>
          <t>Tất cả phòng (CEO sponsor)</t>
        </is>
      </c>
      <c r="E3" s="118" t="inlineStr">
        <is>
          <t>Q-01, Q-05, Q-26</t>
        </is>
      </c>
    </row>
    <row r="4" ht="44" customHeight="1" s="98">
      <c r="A4" s="126" t="inlineStr">
        <is>
          <t>BO-02</t>
        </is>
      </c>
      <c r="B4" s="119" t="inlineStr">
        <is>
          <t>Theo dõi Order-to-Cash (O2C) end-to-end thời gian thực — Dashboard refresh hằng ngày
(BRD §3, BO-02 + FRD-01 luồng SOP)</t>
        </is>
      </c>
      <c r="C4" s="119" t="inlineStr">
        <is>
          <t>O2C dashboard refresh hằng ngày, mọi bước Lead→Invoice trace được</t>
        </is>
      </c>
      <c r="D4" s="119" t="inlineStr">
        <is>
          <t>Sales Director David Okafor</t>
        </is>
      </c>
      <c r="E4" s="119" t="inlineStr">
        <is>
          <t>Q-10</t>
        </is>
      </c>
    </row>
    <row r="5" ht="44" customHeight="1" s="98">
      <c r="A5" s="124" t="inlineStr">
        <is>
          <t>BO-03</t>
        </is>
      </c>
      <c r="B5" s="118" t="inlineStr">
        <is>
          <t>Kiểm soát tồn kho chính xác từng kho × từng SKU — sai lệch &lt; 2%
(BRD §3, BO-03 + FRD-04 KPI)</t>
        </is>
      </c>
      <c r="C5" s="118" t="inlineStr">
        <is>
          <t>Sai lệch tồn kho &lt; 2% mỗi kho</t>
        </is>
      </c>
      <c r="D5" s="118" t="inlineStr">
        <is>
          <t>Warehouse Mgr James Park</t>
        </is>
      </c>
      <c r="E5" s="118" t="inlineStr">
        <is>
          <t>Q-18, Q-24, Q-25</t>
        </is>
      </c>
    </row>
    <row r="6" ht="44" customHeight="1" s="98">
      <c r="A6" s="126" t="inlineStr">
        <is>
          <t>BO-04</t>
        </is>
      </c>
      <c r="B6" s="119" t="inlineStr">
        <is>
          <t>3-way match tự động trong Procure-to-Pay — 100% vendor bill qua 3-way match
(BRD §3, BO-04 + BR-PUR-04 + BR-ACC-07)</t>
        </is>
      </c>
      <c r="C6" s="119" t="inlineStr">
        <is>
          <t>100% vendor bill qua 3-way match</t>
        </is>
      </c>
      <c r="D6" s="119" t="inlineStr">
        <is>
          <t>Purchasing Manager Priya Sharma</t>
        </is>
      </c>
      <c r="E6" s="119" t="inlineStr">
        <is>
          <t>— (chưa có Q-ID tương ứng, cần bổ sung khi phỏng vấn Purchasing/AP)</t>
        </is>
      </c>
    </row>
    <row r="7" ht="44" customHeight="1" s="98">
      <c r="A7" s="124" t="inlineStr">
        <is>
          <t>BO-05</t>
        </is>
      </c>
      <c r="B7" s="118" t="inlineStr">
        <is>
          <t>Đo lường hiệu quả marketing theo kênh — ROAS, CAC hàng tháng
(BRD §3, BO-05 + FRD-02 §2 multi-source tracking)</t>
        </is>
      </c>
      <c r="C7" s="118" t="inlineStr">
        <is>
          <t>ROAS ≥ 3.0× tổng paid, ≥ 2.0× từng kênh</t>
        </is>
      </c>
      <c r="D7" s="118" t="inlineStr">
        <is>
          <t>Marketing Manager Anna Kowalski</t>
        </is>
      </c>
      <c r="E7" s="118" t="inlineStr">
        <is>
          <t>Q-15, Q-16</t>
        </is>
      </c>
    </row>
    <row r="8" ht="44" customHeight="1" s="98">
      <c r="A8" s="126" t="inlineStr">
        <is>
          <t>BO-06</t>
        </is>
      </c>
      <c r="B8" s="119" t="inlineStr">
        <is>
          <t>Lập và theo dõi kế hoạch sản xuất theo BOM — Plan Attainment ≥ 95%
(BRD §3, BO-06 + FRD-05 BR-MFG-07 max 1.100 sp/tháng)</t>
        </is>
      </c>
      <c r="C8" s="119" t="inlineStr">
        <is>
          <t>Plan Attainment ≥ 95%</t>
        </is>
      </c>
      <c r="D8" s="119" t="inlineStr">
        <is>
          <t>Plant Manager Elena Rodriguez</t>
        </is>
      </c>
      <c r="E8" s="119" t="inlineStr">
        <is>
          <t>Q-20, Q-21, Q-22</t>
        </is>
      </c>
    </row>
    <row r="9" ht="44" customHeight="1" s="98">
      <c r="A9" s="124" t="inlineStr">
        <is>
          <t>BO-07</t>
        </is>
      </c>
      <c r="B9" s="118" t="inlineStr">
        <is>
          <t>Quản lý công nợ AR/AP tự động — DSO &lt; 38d, DPO 28–35d, không quá hạn NCC
(BRD §3, BO-07 + FRD-06 KPI + BR-ACC-04)</t>
        </is>
      </c>
      <c r="C9" s="118" t="inlineStr">
        <is>
          <t>DSO &lt; 38 ngày, DPO 28–35 ngày, 0% quá hạn NCC</t>
        </is>
      </c>
      <c r="D9" s="118" t="inlineStr">
        <is>
          <t>Chief Accountant Robert Hayes</t>
        </is>
      </c>
      <c r="E9" s="118" t="inlineStr">
        <is>
          <t>Q-06, Q-27</t>
        </is>
      </c>
    </row>
    <row r="10" ht="44" customHeight="1" s="98">
      <c r="A10" s="126" t="inlineStr">
        <is>
          <t>BO-08</t>
        </is>
      </c>
      <c r="B10" s="119" t="inlineStr">
        <is>
          <t>Data platform: CDC → dbt → Power BI — refresh hằng ngày
(BRD §3, BO-08 + FRD-08 toàn bộ) — v3: nay là 11 report thay vì 8 dashboard</t>
        </is>
      </c>
      <c r="C10" s="119" t="inlineStr">
        <is>
          <t>0 DAG fail, dbt test pass 100%, Kafka lag = 0</t>
        </is>
      </c>
      <c r="D10" s="119" t="inlineStr">
        <is>
          <t>Data Analyst — IT &amp; Data</t>
        </is>
      </c>
      <c r="E10" s="119" t="inlineStr">
        <is>
          <t>Q-29, Q-30, Q-31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8" min="1" max="1"/>
    <col width="20" customWidth="1" style="98" min="2" max="2"/>
    <col width="20" customWidth="1" style="98" min="3" max="3"/>
    <col width="46" customWidth="1" style="98" min="4" max="4"/>
    <col width="30" customWidth="1" style="98" min="5" max="5"/>
    <col width="12" customWidth="1" style="98" min="6" max="6"/>
    <col width="14" customWidth="1" style="98" min="7" max="7"/>
  </cols>
  <sheetData>
    <row r="1" ht="30" customHeight="1" s="98">
      <c r="A1" s="113" t="inlineStr">
        <is>
          <t>❔  QUESTION REGISTRY — Điểm Kết Nối Stakeholder ↔ BRD ↔ Analysis Log ↔ Dashboard | NEW v3 | Nguồn: Câu Hỏi Ưu Tiên đã có ở Sheet 1️⃣ bản gốc</t>
        </is>
      </c>
      <c r="B1" s="114" t="n"/>
      <c r="C1" s="114" t="n"/>
      <c r="D1" s="114" t="n"/>
      <c r="E1" s="114" t="n"/>
      <c r="F1" s="114" t="n"/>
      <c r="G1" s="114" t="n"/>
    </row>
    <row r="2" ht="32" customHeight="1" s="98">
      <c r="A2" s="117" t="inlineStr">
        <is>
          <t>Q-ID</t>
        </is>
      </c>
      <c r="B2" s="117" t="inlineStr">
        <is>
          <t>Domain</t>
        </is>
      </c>
      <c r="C2" s="117" t="inlineStr">
        <is>
          <t>Stakeholder</t>
        </is>
      </c>
      <c r="D2" s="117" t="inlineStr">
        <is>
          <t>Câu Hỏi</t>
        </is>
      </c>
      <c r="E2" s="117" t="inlineStr">
        <is>
          <t>Framework / Trục Phân Tích</t>
        </is>
      </c>
      <c r="F2" s="117" t="inlineStr">
        <is>
          <t>RPT-ID Phục Vụ</t>
        </is>
      </c>
      <c r="G2" s="117" t="inlineStr">
        <is>
          <t>BO-ID Liên Quan</t>
        </is>
      </c>
    </row>
    <row r="3" ht="30" customHeight="1" s="98">
      <c r="A3" s="124" t="inlineStr">
        <is>
          <t>Q-01</t>
        </is>
      </c>
      <c r="B3" s="118" t="inlineStr">
        <is>
          <t>E-com/Retail + Finance</t>
        </is>
      </c>
      <c r="C3" s="118" t="inlineStr">
        <is>
          <t>STK-01 CEO</t>
        </is>
      </c>
      <c r="D3" s="118" t="inlineStr">
        <is>
          <t>Doanh thu tổng, xu hướng tăng/giảm?</t>
        </is>
      </c>
      <c r="E3" s="118" t="inlineStr">
        <is>
          <t>Thời gian · Trend line + YoY/CAGR</t>
        </is>
      </c>
      <c r="F3" s="125" t="inlineStr">
        <is>
          <t>RPT-01</t>
        </is>
      </c>
      <c r="G3" s="125" t="inlineStr">
        <is>
          <t>BO-01</t>
        </is>
      </c>
    </row>
    <row r="4" ht="30" customHeight="1" s="98">
      <c r="A4" s="126" t="inlineStr">
        <is>
          <t>Q-02</t>
        </is>
      </c>
      <c r="B4" s="119" t="inlineStr">
        <is>
          <t>E-com/Retail + Finance</t>
        </is>
      </c>
      <c r="C4" s="119" t="inlineStr">
        <is>
          <t>STK-01 CEO</t>
        </is>
      </c>
      <c r="D4" s="119" t="inlineStr">
        <is>
          <t>Khách hàng giá trị (CLV)?</t>
        </is>
      </c>
      <c r="E4" s="119" t="inlineStr">
        <is>
          <t>Top-tier khách · CLTV</t>
        </is>
      </c>
      <c r="F4" s="127" t="inlineStr">
        <is>
          <t>RPT-01</t>
        </is>
      </c>
      <c r="G4" s="127" t="inlineStr">
        <is>
          <t>—</t>
        </is>
      </c>
    </row>
    <row r="5" ht="30" customHeight="1" s="98">
      <c r="A5" s="124" t="inlineStr">
        <is>
          <t>Q-03</t>
        </is>
      </c>
      <c r="B5" s="118" t="inlineStr">
        <is>
          <t>E-com/Retail + Finance</t>
        </is>
      </c>
      <c r="C5" s="118" t="inlineStr">
        <is>
          <t>STK-01 CEO</t>
        </is>
      </c>
      <c r="D5" s="118" t="inlineStr">
        <is>
          <t>Vùng/Kênh mạnh yếu?</t>
        </is>
      </c>
      <c r="E5" s="118" t="inlineStr">
        <is>
          <t>Vùng, Segment · Geo map</t>
        </is>
      </c>
      <c r="F5" s="125" t="inlineStr">
        <is>
          <t>RPT-01</t>
        </is>
      </c>
      <c r="G5" s="125" t="inlineStr">
        <is>
          <t>—</t>
        </is>
      </c>
    </row>
    <row r="6" ht="30" customHeight="1" s="98">
      <c r="A6" s="126" t="inlineStr">
        <is>
          <t>Q-04</t>
        </is>
      </c>
      <c r="B6" s="119" t="inlineStr">
        <is>
          <t>E-com/Retail + Finance</t>
        </is>
      </c>
      <c r="C6" s="119" t="inlineStr">
        <is>
          <t>STK-01 CEO</t>
        </is>
      </c>
      <c r="D6" s="119" t="inlineStr">
        <is>
          <t>Ngày bất thường?</t>
        </is>
      </c>
      <c r="E6" s="119" t="inlineStr">
        <is>
          <t>Z-Score Anomaly</t>
        </is>
      </c>
      <c r="F6" s="127" t="inlineStr">
        <is>
          <t>RPT-01</t>
        </is>
      </c>
      <c r="G6" s="127" t="inlineStr">
        <is>
          <t>BO-01</t>
        </is>
      </c>
    </row>
    <row r="7" ht="30" customHeight="1" s="98">
      <c r="A7" s="124" t="inlineStr">
        <is>
          <t>Q-05</t>
        </is>
      </c>
      <c r="B7" s="118" t="inlineStr">
        <is>
          <t>Finance / Banking</t>
        </is>
      </c>
      <c r="C7" s="118" t="inlineStr">
        <is>
          <t>STK-02 CFO</t>
        </is>
      </c>
      <c r="D7" s="118" t="inlineStr">
        <is>
          <t>P&amp;L tháng này có tốt không? Lệch kế hoạch chỗ nào? Chênh lệch doanh thu đến từ đâu? Balance Sheet có lành mạnh không?</t>
        </is>
      </c>
      <c r="E7" s="118" t="inlineStr">
        <is>
          <t>Thời gian · P&amp;L Waterfall+Trend · Cash Flow Statement · Balance Sheet KPI</t>
        </is>
      </c>
      <c r="F7" s="125" t="inlineStr">
        <is>
          <t>RPT-02</t>
        </is>
      </c>
      <c r="G7" s="125" t="inlineStr">
        <is>
          <t>BO-01</t>
        </is>
      </c>
    </row>
    <row r="8" ht="30" customHeight="1" s="98">
      <c r="A8" s="126" t="inlineStr">
        <is>
          <t>Q-06</t>
        </is>
      </c>
      <c r="B8" s="119" t="inlineStr">
        <is>
          <t>Finance / Banking</t>
        </is>
      </c>
      <c r="C8" s="119" t="inlineStr">
        <is>
          <t>STK-02 CFO</t>
        </is>
      </c>
      <c r="D8" s="119" t="inlineStr">
        <is>
          <t>DSO có vượt ngưỡng? Khách nào nợ quá hạn (AR Aging)? DPO hợp lý? Margin theo kênh/BU? Tồn kho bao nhiêu vốn kẹt?</t>
        </is>
      </c>
      <c r="E8" s="119" t="inlineStr">
        <is>
          <t>Thời gian · DSO Trend · AR Aging · DPO Trend+AP Aging · Inventory Aging+Turnover</t>
        </is>
      </c>
      <c r="F8" s="127" t="inlineStr">
        <is>
          <t>RPT-03</t>
        </is>
      </c>
      <c r="G8" s="127" t="inlineStr">
        <is>
          <t>BO-07</t>
        </is>
      </c>
    </row>
    <row r="9" ht="30" customHeight="1" s="98">
      <c r="A9" s="124" t="inlineStr">
        <is>
          <t>Q-07</t>
        </is>
      </c>
      <c r="B9" s="118" t="inlineStr">
        <is>
          <t>Finance / Banking</t>
        </is>
      </c>
      <c r="C9" s="118" t="inlineStr">
        <is>
          <t>STK-02 CFO</t>
        </is>
      </c>
      <c r="D9" s="118" t="inlineStr">
        <is>
          <t>Tiền có đủ để vận hành (Cash Flow)? Chi phí nào tăng bất thường? Chi phí lương/headcount có hợp lý?</t>
        </is>
      </c>
      <c r="E9" s="118" t="inlineStr">
        <is>
          <t>Bất thường · Z-Score+Variance by cost center · Segment · P&amp;L by Channel · HR cost analysis</t>
        </is>
      </c>
      <c r="F9" s="125" t="inlineStr">
        <is>
          <t>RPT-02</t>
        </is>
      </c>
      <c r="G9" s="125" t="inlineStr">
        <is>
          <t>—</t>
        </is>
      </c>
    </row>
    <row r="10" ht="30" customHeight="1" s="98">
      <c r="A10" s="126" t="inlineStr">
        <is>
          <t>Q-08</t>
        </is>
      </c>
      <c r="B10" s="119" t="inlineStr">
        <is>
          <t>Finance / Banking</t>
        </is>
      </c>
      <c r="C10" s="119" t="inlineStr">
        <is>
          <t>STK-02 CFO</t>
        </is>
      </c>
      <c r="D10" s="119" t="inlineStr">
        <is>
          <t>Giảm giá ăn margin ở đâu?</t>
        </is>
      </c>
      <c r="E10" s="119" t="inlineStr">
        <is>
          <t>Giá · Scatter Discount × Profit</t>
        </is>
      </c>
      <c r="F10" s="127" t="inlineStr">
        <is>
          <t>RPT-05</t>
        </is>
      </c>
      <c r="G10" s="127" t="inlineStr">
        <is>
          <t>—</t>
        </is>
      </c>
    </row>
    <row r="11" ht="30" customHeight="1" s="98">
      <c r="A11" s="124" t="inlineStr">
        <is>
          <t>Q-09</t>
        </is>
      </c>
      <c r="B11" s="118" t="inlineStr">
        <is>
          <t>E-com/Retail</t>
        </is>
      </c>
      <c r="C11" s="118" t="inlineStr">
        <is>
          <t>STK-03 Sales Director</t>
        </is>
      </c>
      <c r="D11" s="118" t="inlineStr">
        <is>
          <t>Bán chạy/lỗ?</t>
        </is>
      </c>
      <c r="E11" s="118" t="inlineStr">
        <is>
          <t>Top sản phẩm · Pareto + Profit Waterfall</t>
        </is>
      </c>
      <c r="F11" s="125" t="inlineStr">
        <is>
          <t>RPT-05</t>
        </is>
      </c>
      <c r="G11" s="125" t="inlineStr">
        <is>
          <t>—</t>
        </is>
      </c>
    </row>
    <row r="12" ht="30" customHeight="1" s="98">
      <c r="A12" s="126" t="inlineStr">
        <is>
          <t>Q-10</t>
        </is>
      </c>
      <c r="B12" s="119" t="inlineStr">
        <is>
          <t>E-com/Retail</t>
        </is>
      </c>
      <c r="C12" s="119" t="inlineStr">
        <is>
          <t>STK-03 Sales Director</t>
        </is>
      </c>
      <c r="D12" s="119" t="inlineStr">
        <is>
          <t>Mất khách bước nào? Giỏ hàng bị bỏ?</t>
        </is>
      </c>
      <c r="E12" s="119" t="inlineStr">
        <is>
          <t>Hành trình · Funnel + Cart Abandonment</t>
        </is>
      </c>
      <c r="F12" s="127" t="inlineStr">
        <is>
          <t>RPT-04</t>
        </is>
      </c>
      <c r="G12" s="127" t="inlineStr">
        <is>
          <t>BO-02</t>
        </is>
      </c>
    </row>
    <row r="13" ht="30" customHeight="1" s="98">
      <c r="A13" s="124" t="inlineStr">
        <is>
          <t>Q-11</t>
        </is>
      </c>
      <c r="B13" s="118" t="inlineStr">
        <is>
          <t>E-com/Retail</t>
        </is>
      </c>
      <c r="C13" s="118" t="inlineStr">
        <is>
          <t>STK-03 Sales Director</t>
        </is>
      </c>
      <c r="D13" s="118" t="inlineStr">
        <is>
          <t>Đơn trung bình (AOV)?</t>
        </is>
      </c>
      <c r="E13" s="118" t="inlineStr">
        <is>
          <t>AOV trend + Basket analysis</t>
        </is>
      </c>
      <c r="F13" s="125" t="inlineStr">
        <is>
          <t>RPT-04</t>
        </is>
      </c>
      <c r="G13" s="125" t="inlineStr">
        <is>
          <t>—</t>
        </is>
      </c>
    </row>
    <row r="14" ht="30" customHeight="1" s="98">
      <c r="A14" s="126" t="inlineStr">
        <is>
          <t>Q-12</t>
        </is>
      </c>
      <c r="B14" s="119" t="inlineStr">
        <is>
          <t>E-com/Retail</t>
        </is>
      </c>
      <c r="C14" s="119" t="inlineStr">
        <is>
          <t>STK-03 Sales Director</t>
        </is>
      </c>
      <c r="D14" s="119" t="inlineStr">
        <is>
          <t>SKU trả hàng?</t>
        </is>
      </c>
      <c r="E14" s="119" t="inlineStr">
        <is>
          <t>Pareto Return by SKU</t>
        </is>
      </c>
      <c r="F14" s="127" t="inlineStr">
        <is>
          <t>RPT-05</t>
        </is>
      </c>
      <c r="G14" s="127" t="inlineStr">
        <is>
          <t>—</t>
        </is>
      </c>
    </row>
    <row r="15" ht="30" customHeight="1" s="98">
      <c r="A15" s="124" t="inlineStr">
        <is>
          <t>Q-13</t>
        </is>
      </c>
      <c r="B15" s="118" t="inlineStr">
        <is>
          <t>E-com/Retail</t>
        </is>
      </c>
      <c r="C15" s="118" t="inlineStr">
        <is>
          <t>STK-03 Sales Director</t>
        </is>
      </c>
      <c r="D15" s="118" t="inlineStr">
        <is>
          <t>Khách sắp rời?</t>
        </is>
      </c>
      <c r="E15" s="118" t="inlineStr">
        <is>
          <t>Top-tier khách · RFM</t>
        </is>
      </c>
      <c r="F15" s="125" t="inlineStr">
        <is>
          <t>RPT-06</t>
        </is>
      </c>
      <c r="G15" s="125" t="inlineStr">
        <is>
          <t>—</t>
        </is>
      </c>
    </row>
    <row r="16" ht="30" customHeight="1" s="98">
      <c r="A16" s="126" t="inlineStr">
        <is>
          <t>Q-14</t>
        </is>
      </c>
      <c r="B16" s="119" t="inlineStr">
        <is>
          <t>E-com/Retail</t>
        </is>
      </c>
      <c r="C16" s="119" t="inlineStr">
        <is>
          <t>STK-03 Sales Director</t>
        </is>
      </c>
      <c r="D16" s="119" t="inlineStr">
        <is>
          <t>Giảm giá ăn margin ở đâu?</t>
        </is>
      </c>
      <c r="E16" s="119" t="inlineStr">
        <is>
          <t>Giá · Scatter Discount × Profit</t>
        </is>
      </c>
      <c r="F16" s="127" t="inlineStr">
        <is>
          <t>RPT-05</t>
        </is>
      </c>
      <c r="G16" s="127" t="inlineStr">
        <is>
          <t>—</t>
        </is>
      </c>
    </row>
    <row r="17" ht="30" customHeight="1" s="98">
      <c r="A17" s="124" t="inlineStr">
        <is>
          <t>Q-15</t>
        </is>
      </c>
      <c r="B17" s="118" t="inlineStr">
        <is>
          <t>Digital Marketing</t>
        </is>
      </c>
      <c r="C17" s="118" t="inlineStr">
        <is>
          <t>STK-04 Marketing Manager</t>
        </is>
      </c>
      <c r="D17" s="118" t="inlineStr">
        <is>
          <t>Campaign nào đốt tiền (lỗ)? Click nhiều mà không mua? CPA có lãi? Mất khách ở bước nào của phễu?</t>
        </is>
      </c>
      <c r="E17" s="118" t="inlineStr">
        <is>
          <t>segment campaign · CPA vs ROAS vs CTR vs CVR · Funnel impression→click→lead→signup→buy</t>
        </is>
      </c>
      <c r="F17" s="125" t="inlineStr">
        <is>
          <t>RPT-07</t>
        </is>
      </c>
      <c r="G17" s="125" t="inlineStr">
        <is>
          <t>BO-05</t>
        </is>
      </c>
    </row>
    <row r="18" ht="30" customHeight="1" s="98">
      <c r="A18" s="126" t="inlineStr">
        <is>
          <t>Q-16</t>
        </is>
      </c>
      <c r="B18" s="119" t="inlineStr">
        <is>
          <t>Digital Marketing</t>
        </is>
      </c>
      <c r="C18" s="119" t="inlineStr">
        <is>
          <t>STK-04 Marketing Manager</t>
        </is>
      </c>
      <c r="D18" s="119" t="inlineStr">
        <is>
          <t>Kênh nào sinh lời, nên scale? Khách đáng đầu tư bao nhiêu (CAC)? Audience nào hiệu quả?</t>
        </is>
      </c>
      <c r="E18" s="119" t="inlineStr">
        <is>
          <t>segment customer · CLTV vs CAC</t>
        </is>
      </c>
      <c r="F18" s="127" t="inlineStr">
        <is>
          <t>RPT-07</t>
        </is>
      </c>
      <c r="G18" s="127" t="inlineStr">
        <is>
          <t>BO-05</t>
        </is>
      </c>
    </row>
    <row r="19" ht="30" customHeight="1" s="98">
      <c r="A19" s="124" t="inlineStr">
        <is>
          <t>Q-17</t>
        </is>
      </c>
      <c r="B19" s="118" t="inlineStr">
        <is>
          <t>Digital Marketing</t>
        </is>
      </c>
      <c r="C19" s="118" t="inlineStr">
        <is>
          <t>STK-04 Marketing Manager</t>
        </is>
      </c>
      <c r="D19" s="118" t="inlineStr">
        <is>
          <t>Có ngày chi tiêu/hiệu quả lạ?</t>
        </is>
      </c>
      <c r="E19" s="118" t="inlineStr">
        <is>
          <t>z score trend</t>
        </is>
      </c>
      <c r="F19" s="125" t="inlineStr">
        <is>
          <t>RPT-07</t>
        </is>
      </c>
      <c r="G19" s="125" t="inlineStr">
        <is>
          <t>—</t>
        </is>
      </c>
    </row>
    <row r="20" ht="30" customHeight="1" s="98">
      <c r="A20" s="126" t="inlineStr">
        <is>
          <t>Q-18</t>
        </is>
      </c>
      <c r="B20" s="119" t="inlineStr">
        <is>
          <t>Logistics / Supply Chain</t>
        </is>
      </c>
      <c r="C20" s="119" t="inlineStr">
        <is>
          <t>STK-05 Warehouse Manager</t>
        </is>
      </c>
      <c r="D20" s="119" t="inlineStr">
        <is>
          <t>Bao nhiêu % đơn trễ? Tuyến nào hay trễ? Trễ do mình hay carrier? Carrier nào kém? Đơn quá hạn lâu chưa xử lý? Có ngày spike đơn trễ lạ?</t>
        </is>
      </c>
      <c r="E20" s="119" t="inlineStr">
        <is>
          <t>Thời gian · OTD · Segment carrier·Vùng · Heatmap Region×Ship Mode · Aging Due-Date · Z-Score</t>
        </is>
      </c>
      <c r="F20" s="127" t="inlineStr">
        <is>
          <t>RPT-08</t>
        </is>
      </c>
      <c r="G20" s="127" t="inlineStr">
        <is>
          <t>BO-03</t>
        </is>
      </c>
    </row>
    <row r="21" ht="30" customHeight="1" s="98">
      <c r="A21" s="124" t="inlineStr">
        <is>
          <t>Q-19</t>
        </is>
      </c>
      <c r="B21" s="118" t="inlineStr">
        <is>
          <t>Logistics / Supply Chain</t>
        </is>
      </c>
      <c r="C21" s="118" t="inlineStr">
        <is>
          <t>STK-05 Warehouse Manager</t>
        </is>
      </c>
      <c r="D21" s="118" t="inlineStr">
        <is>
          <t>Chi phí vận chuyển vùng nào cao? Ship mode nào vượt SLA?</t>
        </is>
      </c>
      <c r="E21" s="118" t="inlineStr">
        <is>
          <t>Avg Delay by Route · Freight Cost by Region · SLA Compliance</t>
        </is>
      </c>
      <c r="F21" s="125" t="inlineStr">
        <is>
          <t>RPT-08</t>
        </is>
      </c>
      <c r="G21" s="125" t="inlineStr">
        <is>
          <t>—</t>
        </is>
      </c>
    </row>
    <row r="22" ht="30" customHeight="1" s="98">
      <c r="A22" s="126" t="inlineStr">
        <is>
          <t>Q-20</t>
        </is>
      </c>
      <c r="B22" s="119" t="inlineStr">
        <is>
          <t>Production / Manufacturing</t>
        </is>
      </c>
      <c r="C22" s="119" t="inlineStr">
        <is>
          <t>STK-06 Plant Manager</t>
        </is>
      </c>
      <c r="D22" s="119" t="inlineStr">
        <is>
          <t>OEE bao nhiêu, tụt vì đâu? Máy dừng nhiều (Availability)? Máy chạy chậm hơn chuẩn? Máy hỏng ngày càng dày?</t>
        </is>
      </c>
      <c r="E22" s="119" t="inlineStr">
        <is>
          <t>Segment · OEE Breakdown</t>
        </is>
      </c>
      <c r="F22" s="127" t="inlineStr">
        <is>
          <t>RPT-09</t>
        </is>
      </c>
      <c r="G22" s="127" t="inlineStr">
        <is>
          <t>BO-06</t>
        </is>
      </c>
    </row>
    <row r="23" ht="30" customHeight="1" s="98">
      <c r="A23" s="124" t="inlineStr">
        <is>
          <t>Q-21</t>
        </is>
      </c>
      <c r="B23" s="118" t="inlineStr">
        <is>
          <t>Production / Manufacturing</t>
        </is>
      </c>
      <c r="C23" s="118" t="inlineStr">
        <is>
          <t>STK-06 Plant Manager</t>
        </is>
      </c>
      <c r="D23" s="118" t="inlineStr">
        <is>
          <t>Phế phẩm nhiều ở đâu (Quality)? Downtime dồn vào nguyên nhân nào? Ca/kíp nào năng suất kém? Lô NVL/NCC nào gây lỗi?</t>
        </is>
      </c>
      <c r="E23" s="118" t="inlineStr">
        <is>
          <t>Downtime Pareto+MTBF/MTTR · Defect Pareto (Vital Few) · Output by Shift · Defect by Supplier</t>
        </is>
      </c>
      <c r="F23" s="125" t="inlineStr">
        <is>
          <t>RPT-09</t>
        </is>
      </c>
      <c r="G23" s="125" t="inlineStr">
        <is>
          <t>BO-06</t>
        </is>
      </c>
    </row>
    <row r="24" ht="30" customHeight="1" s="98">
      <c r="A24" s="126" t="inlineStr">
        <is>
          <t>Q-22</t>
        </is>
      </c>
      <c r="B24" s="119" t="inlineStr">
        <is>
          <t>Production / Manufacturing</t>
        </is>
      </c>
      <c r="C24" s="119" t="inlineStr">
        <is>
          <t>STK-06 Plant Manager</t>
        </is>
      </c>
      <c r="D24" s="119" t="inlineStr">
        <is>
          <t>Sản lượng so kế hoạch?</t>
        </is>
      </c>
      <c r="E24" s="119" t="inlineStr">
        <is>
          <t>Variance · Plan Variance</t>
        </is>
      </c>
      <c r="F24" s="127" t="inlineStr">
        <is>
          <t>RPT-09</t>
        </is>
      </c>
      <c r="G24" s="127" t="inlineStr">
        <is>
          <t>BO-06</t>
        </is>
      </c>
    </row>
    <row r="25" ht="30" customHeight="1" s="98">
      <c r="A25" s="124" t="inlineStr">
        <is>
          <t>Q-23</t>
        </is>
      </c>
      <c r="B25" s="118" t="inlineStr">
        <is>
          <t>Production / Manufacturing</t>
        </is>
      </c>
      <c r="C25" s="118" t="inlineStr">
        <is>
          <t>STK-06 Plant Manager</t>
        </is>
      </c>
      <c r="D25" s="118" t="inlineStr">
        <is>
          <t>Có sự cố bất thường?</t>
        </is>
      </c>
      <c r="E25" s="118" t="inlineStr">
        <is>
          <t>Bất thường · Z-Score · SPC Control Chart</t>
        </is>
      </c>
      <c r="F25" s="125" t="inlineStr">
        <is>
          <t>RPT-09</t>
        </is>
      </c>
      <c r="G25" s="125" t="inlineStr">
        <is>
          <t>—</t>
        </is>
      </c>
    </row>
    <row r="26" ht="30" customHeight="1" s="98">
      <c r="A26" s="126" t="inlineStr">
        <is>
          <t>Q-24</t>
        </is>
      </c>
      <c r="B26" s="119" t="inlineStr">
        <is>
          <t>Logistics / Supply Chain</t>
        </is>
      </c>
      <c r="C26" s="119" t="inlineStr">
        <is>
          <t>STK-07 Purchasing Manager</t>
        </is>
      </c>
      <c r="D26" s="119" t="inlineStr">
        <is>
          <t>SKU nào sắp/đã hết hàng?</t>
        </is>
      </c>
      <c r="E26" s="119" t="inlineStr">
        <is>
          <t>segment: ABC + Stock-out</t>
        </is>
      </c>
      <c r="F26" s="127" t="inlineStr">
        <is>
          <t>RPT-08</t>
        </is>
      </c>
      <c r="G26" s="127" t="inlineStr">
        <is>
          <t>BO-03</t>
        </is>
      </c>
    </row>
    <row r="27" ht="30" customHeight="1" s="98">
      <c r="A27" s="124" t="inlineStr">
        <is>
          <t>Q-25</t>
        </is>
      </c>
      <c r="B27" s="118" t="inlineStr">
        <is>
          <t>Logistics / Supply Chain</t>
        </is>
      </c>
      <c r="C27" s="118" t="inlineStr">
        <is>
          <t>STK-07 Purchasing Manager</t>
        </is>
      </c>
      <c r="D27" s="118" t="inlineStr">
        <is>
          <t>Hàng tồn ế ở đâu?</t>
        </is>
      </c>
      <c r="E27" s="118" t="inlineStr">
        <is>
          <t>Overstock Analysis</t>
        </is>
      </c>
      <c r="F27" s="125" t="inlineStr">
        <is>
          <t>RPT-08</t>
        </is>
      </c>
      <c r="G27" s="125" t="inlineStr">
        <is>
          <t>BO-03</t>
        </is>
      </c>
    </row>
    <row r="28" ht="30" customHeight="1" s="98">
      <c r="A28" s="126" t="inlineStr">
        <is>
          <t>Q-26</t>
        </is>
      </c>
      <c r="B28" s="119" t="inlineStr">
        <is>
          <t>Finance / Banking</t>
        </is>
      </c>
      <c r="C28" s="119" t="inlineStr">
        <is>
          <t>STK-08 Chief Accountant</t>
        </is>
      </c>
      <c r="D28" s="119" t="inlineStr">
        <is>
          <t>(vận hành) P&amp;L tháng này có khớp sổ sách sau đóng sổ D+5 không? Balance Sheet có lành mạnh không?</t>
        </is>
      </c>
      <c r="E28" s="119" t="inlineStr">
        <is>
          <t>Thời gian · P&amp;L Waterfall+Trend · Balance Sheet KPI</t>
        </is>
      </c>
      <c r="F28" s="127" t="inlineStr">
        <is>
          <t>RPT-02</t>
        </is>
      </c>
      <c r="G28" s="127" t="inlineStr">
        <is>
          <t>BO-01</t>
        </is>
      </c>
    </row>
    <row r="29" ht="30" customHeight="1" s="98">
      <c r="A29" s="124" t="inlineStr">
        <is>
          <t>Q-27</t>
        </is>
      </c>
      <c r="B29" s="118" t="inlineStr">
        <is>
          <t>Finance / Banking</t>
        </is>
      </c>
      <c r="C29" s="118" t="inlineStr">
        <is>
          <t>STK-08 Chief Accountant</t>
        </is>
      </c>
      <c r="D29" s="118" t="inlineStr">
        <is>
          <t>(vận hành) DSO có vượt ngưỡng? Khách nào nợ quá hạn (AR Aging)? DPO hợp lý? Margin theo kênh/BU?</t>
        </is>
      </c>
      <c r="E29" s="118" t="inlineStr">
        <is>
          <t>DSO Trend · AR Aging · DPO Trend+AP Aging</t>
        </is>
      </c>
      <c r="F29" s="125" t="inlineStr">
        <is>
          <t>RPT-03</t>
        </is>
      </c>
      <c r="G29" s="125" t="inlineStr">
        <is>
          <t>BO-07</t>
        </is>
      </c>
    </row>
    <row r="30" ht="30" customHeight="1" s="98">
      <c r="A30" s="126" t="inlineStr">
        <is>
          <t>Q-28</t>
        </is>
      </c>
      <c r="B30" s="119" t="inlineStr">
        <is>
          <t>Finance / Banking</t>
        </is>
      </c>
      <c r="C30" s="119" t="inlineStr">
        <is>
          <t>STK-08 Chief Accountant</t>
        </is>
      </c>
      <c r="D30" s="119" t="inlineStr">
        <is>
          <t>(vận hành) Tiền có đủ vận hành? Chi phí nào tăng bất thường? Chi phí lương/headcount hợp lý?</t>
        </is>
      </c>
      <c r="E30" s="119" t="inlineStr">
        <is>
          <t>Cash Flow Statement · Variance by cost center · HR cost analysis</t>
        </is>
      </c>
      <c r="F30" s="127" t="inlineStr">
        <is>
          <t>RPT-02</t>
        </is>
      </c>
      <c r="G30" s="127" t="inlineStr">
        <is>
          <t>—</t>
        </is>
      </c>
    </row>
    <row r="31" ht="30" customHeight="1" s="98">
      <c r="A31" s="124" t="inlineStr">
        <is>
          <t>Q-29</t>
        </is>
      </c>
      <c r="B31" s="118" t="inlineStr">
        <is>
          <t>Data Ops / All Domains</t>
        </is>
      </c>
      <c r="C31" s="118" t="inlineStr">
        <is>
          <t>STK-09 Data Analyst</t>
        </is>
      </c>
      <c r="D31" s="118" t="inlineStr">
        <is>
          <t>Pipeline CDC Debezium→Kafka→MinIO chạy ổn không? Kafka lag bao nhiêu?</t>
        </is>
      </c>
      <c r="E31" s="118" t="inlineStr">
        <is>
          <t>Pipeline lag → 0 (BR-DATA-01/05)</t>
        </is>
      </c>
      <c r="F31" s="125" t="inlineStr">
        <is>
          <t>RPT-11</t>
        </is>
      </c>
      <c r="G31" s="125" t="inlineStr">
        <is>
          <t>BO-08</t>
        </is>
      </c>
    </row>
    <row r="32" ht="30" customHeight="1" s="98">
      <c r="A32" s="126" t="inlineStr">
        <is>
          <t>Q-30</t>
        </is>
      </c>
      <c r="B32" s="119" t="inlineStr">
        <is>
          <t>Data Ops / All Domains</t>
        </is>
      </c>
      <c r="C32" s="119" t="inlineStr">
        <is>
          <t>STK-09 Data Analyst</t>
        </is>
      </c>
      <c r="D32" s="119" t="inlineStr">
        <is>
          <t>dbt run kết quả: model nào test fail?</t>
        </is>
      </c>
      <c r="E32" s="119" t="inlineStr">
        <is>
          <t>dbt test pass 100% (BR-DATA-02)</t>
        </is>
      </c>
      <c r="F32" s="127" t="inlineStr">
        <is>
          <t>RPT-11</t>
        </is>
      </c>
      <c r="G32" s="127" t="inlineStr">
        <is>
          <t>BO-08</t>
        </is>
      </c>
    </row>
    <row r="33" ht="30" customHeight="1" s="98">
      <c r="A33" s="124" t="inlineStr">
        <is>
          <t>Q-31</t>
        </is>
      </c>
      <c r="B33" s="118" t="inlineStr">
        <is>
          <t>Data Ops / All Domains</t>
        </is>
      </c>
      <c r="C33" s="118" t="inlineStr">
        <is>
          <t>STK-09 Data Analyst</t>
        </is>
      </c>
      <c r="D33" s="118" t="inlineStr">
        <is>
          <t>Dashboard Power BI đã refresh đúng schedule chưa?</t>
        </is>
      </c>
      <c r="E33" s="118" t="inlineStr">
        <is>
          <t>DAG Airflow 02:00AM: 0 failure (FRD-08 §4 SOP)</t>
        </is>
      </c>
      <c r="F33" s="125" t="inlineStr">
        <is>
          <t>RPT-11</t>
        </is>
      </c>
      <c r="G33" s="125" t="inlineStr">
        <is>
          <t>BO-08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style="98" min="1" max="1"/>
    <col width="34" customWidth="1" style="98" min="2" max="2"/>
    <col width="40" customWidth="1" style="98" min="3" max="3"/>
    <col width="34" customWidth="1" style="98" min="4" max="4"/>
    <col width="34" customWidth="1" style="98" min="5" max="5"/>
    <col width="34" customWidth="1" style="98" min="6" max="6"/>
    <col width="30" customWidth="1" style="98" min="7" max="7"/>
    <col width="8" customWidth="1" style="98" min="8" max="8"/>
    <col width="10" customWidth="1" style="98" min="9" max="9"/>
    <col width="12" customWidth="1" style="98" min="10" max="10"/>
  </cols>
  <sheetData>
    <row r="1" ht="30" customHeight="1" s="98">
      <c r="A1" s="113" t="inlineStr">
        <is>
          <t>📊  ANALYSIS LOG — Gộp 3️⃣ Worksheet 8 Bước + 5️⃣ Insight Hypotheses | v3 | 4 hypothesis trùng domain đã hấp thụ vào session tương ứng (đánh dấu [ex-S5#n])</t>
        </is>
      </c>
      <c r="B1" s="114" t="n"/>
      <c r="C1" s="114" t="n"/>
      <c r="D1" s="114" t="n"/>
      <c r="E1" s="114" t="n"/>
      <c r="F1" s="114" t="n"/>
      <c r="G1" s="114" t="n"/>
      <c r="H1" s="114" t="n"/>
      <c r="I1" s="114" t="n"/>
      <c r="J1" s="114" t="n"/>
    </row>
    <row r="2" ht="32" customHeight="1" s="98">
      <c r="A2" s="117" t="inlineStr">
        <is>
          <t>Q-ID Liên Quan</t>
        </is>
      </c>
      <c r="B2" s="117" t="inlineStr">
        <is>
          <t>Hypothesis</t>
        </is>
      </c>
      <c r="C2" s="117" t="inlineStr">
        <is>
          <t>SQL Validate</t>
        </is>
      </c>
      <c r="D2" s="117" t="inlineStr">
        <is>
          <t>WHAT (số thật khi có)</t>
        </is>
      </c>
      <c r="E2" s="117" t="inlineStr">
        <is>
          <t>WHY</t>
        </is>
      </c>
      <c r="F2" s="117" t="inlineStr">
        <is>
          <t>Action</t>
        </is>
      </c>
      <c r="G2" s="117" t="inlineStr">
        <is>
          <t>Monitor</t>
        </is>
      </c>
      <c r="H2" s="117" t="inlineStr">
        <is>
          <t>Flag</t>
        </is>
      </c>
      <c r="I2" s="117" t="inlineStr">
        <is>
          <t>Sprint</t>
        </is>
      </c>
      <c r="J2" s="117" t="inlineStr">
        <is>
          <t>Ngày Chạy</t>
        </is>
      </c>
    </row>
    <row r="3" ht="59" customHeight="1" s="98">
      <c r="A3" s="124" t="inlineStr">
        <is>
          <t>Q-09, Q-10, Q-11</t>
        </is>
      </c>
      <c r="B3" s="118" t="inlineStr">
        <is>
          <t>Lead→SO Conv%, AOV theo segment, và phân phối Pareto SKU đều chưa có số thật — cần query để xác nhận có đạt ngưỡng FRD-01 không</t>
        </is>
      </c>
      <c r="C3" s="118" t="inlineStr">
        <is>
          <t>Chưa có — cần viết mới. Gợi ý: JOIN crm_lead.stage_id (funnel), res_partner.comment (segment AOV), cumulative revenue % từ sale_order_line (Pareto)</t>
        </is>
      </c>
      <c r="D3" s="118" t="inlineStr">
        <is>
          <t>❓ Lead→SO conv% theo vùng (West/East/Central/South)?
❓ AOV phân tách B2B Corporate vs Consumer vs Home Office?
❓ Top 20% SKU chiếm bao nhiêu % doanh thu?</t>
        </is>
      </c>
      <c r="E3" s="118" t="inlineStr">
        <is>
          <t>Conv thấp → xem stage nào trong crm_lead.stage_id bị dừng nhiều
AOV thấp → cắt theo segment (res_partner.comment)
Long-tail SKU → tính cumulative revenue % từ sale_order_line</t>
        </is>
      </c>
      <c r="F3" s="118" t="inlineStr">
        <is>
          <t>Nếu Conv &lt;25% → Sales Director review pipeline chất lượng lead
Nếu AOV &lt;$450 → kiểm tra BR-SAL-01 chiết khấu bậc thang
Long-tail SKU → Sales Dir + DA review danh mục</t>
        </is>
      </c>
      <c r="G3" s="118" t="inlineStr">
        <is>
          <t>KPI: Lead→SO Conv% theo vùng · &lt;25% → đỏ
KPI: AOV · &lt;$450 → xem xét bundle
Đo lại: Hàng tháng</t>
        </is>
      </c>
      <c r="H3" s="125" t="inlineStr">
        <is>
          <t>🔴</t>
        </is>
      </c>
      <c r="I3" s="125" t="inlineStr">
        <is>
          <t>Sprint 2</t>
        </is>
      </c>
      <c r="J3" s="125" t="inlineStr">
        <is>
          <t>Chưa chạy</t>
        </is>
      </c>
    </row>
    <row r="4" ht="149" customHeight="1" s="98">
      <c r="A4" s="126" t="inlineStr">
        <is>
          <t>Q-18, Q-19, Q-24, Q-25</t>
        </is>
      </c>
      <c r="B4" s="119" t="inlineStr">
        <is>
          <t>OTD theo ship mode×vùng, stock-out risk theo SKU, tần suất inter-warehouse transfer chưa có baseline.
(Hấp thụ 2 hypothesis cùng domain: ship từ kho không gần khách nhất — BR-WH-02 [ex-S5#3]; cycle-count adjustment rate theo kho — BR-WH-04 [ex-S5#9])</t>
        </is>
      </c>
      <c r="C4" s="119" t="inlineStr">
        <is>
          <t>-- OTD/DOS/Transfer: chưa có, cần viết mới
-- [ex-S5#3] Cross-region shipping:
SELECT picking.origin_warehouse, partner.state_id, COUNT(*)
FROM stock_picking JOIN res_partner ON partner_id JOIN stock_warehouse ON location_id
WHERE picking.picking_type_code = 'outgoing'
-- [ex-S5#9] Cycle count accuracy:
SELECT stock_warehouse.name, SUM(ABS(stock_move.product_qty)) adj_qty, SUM(stock_quant.quantity) total_qty
FROM stock_move JOIN stock_location ON location_dest_id JOIN stock_warehouse ON location.usage='inventory'
WHERE stock_move.state='done'</t>
        </is>
      </c>
      <c r="D4" s="119" t="inlineStr">
        <is>
          <t>❓ OTD% theo ship mode (Same Day/First Class/Standard) và vùng?
❓ SKU nào DOS &lt; reorder point (3 tuần)?
❓ Tần suất Internal Transfer giữa cặp kho?
❓ [ex-S5#3] DO có đang xuất từ kho không gần khách nhất không?
❓ [ex-S5#9] Kho nào có adjustment rate &gt; 2% (mục tiêu FRD-04)?</t>
        </is>
      </c>
      <c r="E4" s="119" t="inlineStr">
        <is>
          <t>OTD kém → tách scheduled_date vs date_done trong stock_picking
Stock-out risk → stock_quant.quantity vs orderpoint.product_min_qty
[ex-S5#3] BR-WH-02: mặc định giao từ kho gần khách nhất; exception khi kho gần hết hàng → ship kho khác +$15–30
[ex-S5#9] BR-WH-04: cycle count toàn bộ 4 kho/quý, fast-movers hàng tháng</t>
        </is>
      </c>
      <c r="F4" s="119" t="inlineStr">
        <is>
          <t>OTD &lt;92% (BR-WH-07) → Supervisor review carrier assignment
SKU DOS &lt;7d → Buyer tạo emergency PO
[ex-S5#3] Tần suất cross-region cao → cân bằng tồn tốt hơn (BR-WH-06: sai lệch &gt;30% → trigger transfer)
[ex-S5#9] Adjustment rate &gt;2% → Warehouse Supervisor tăng tần suất cycle count</t>
        </is>
      </c>
      <c r="G4" s="119" t="inlineStr">
        <is>
          <t>KPI: OTD% · &lt;92% → alert
KPI: SKU DOS&lt;7d count · &gt;0 → review ngay
KPI: Adjustment rate/kho/quý · &gt;2% (FRD-04 KPI) → điều tra
Đo lại: Hàng ngày</t>
        </is>
      </c>
      <c r="H4" s="127" t="inlineStr">
        <is>
          <t>🔴</t>
        </is>
      </c>
      <c r="I4" s="127" t="inlineStr">
        <is>
          <t>Sprint 2</t>
        </is>
      </c>
      <c r="J4" s="127" t="inlineStr">
        <is>
          <t>Chưa chạy</t>
        </is>
      </c>
    </row>
    <row r="5" ht="59" customHeight="1" s="98">
      <c r="A5" s="124" t="inlineStr">
        <is>
          <t>Q-20, Q-21, Q-22</t>
        </is>
      </c>
      <c r="B5" s="118" t="inlineStr">
        <is>
          <t>% MO đúng hạn, giờ WO thực tế vs planned theo Work Center, và defect rate chưa có số thật — cần xác nhận có vượt ngưỡng BR-MFG-05/07 không</t>
        </is>
      </c>
      <c r="C5" s="118" t="inlineStr">
        <is>
          <t>Chưa có — cần viết mới. Gợi ý: date_finished ≤ date_planned_finished (on-time); mrp_workorder duration thực tế vs planned theo WC; mrp_scrap.scrap_qty/mrp_production.product_qty (defect)</t>
        </is>
      </c>
      <c r="D5" s="118" t="inlineStr">
        <is>
          <t>❓ % MO done đúng hạn?
❓ Tổng giờ WO thực tế vs planned theo WC-CUT/WC-ASM/WC-QC?
❓ Tỷ lệ mrp_scrap.scrap_qty / mrp_production.product_qty?</t>
        </is>
      </c>
      <c r="E5" s="118" t="inlineStr">
        <is>
          <t>MO trễ → nguyên liệu thiếu hay WC down? (FRD-05 exception)
WC overtime → duration thực tế vs planned
Scrap cao → theo product và scrap_reason</t>
        </is>
      </c>
      <c r="F5" s="118" t="inlineStr">
        <is>
          <t>Defect &gt;2% (BR-MFG-05) → Plant Mgr điều tra lô NVL/WC
MO trễ do NVL → Purchasing review emergency PO
WC overtime → Production Planner điều chỉnh kế hoạch tháng</t>
        </is>
      </c>
      <c r="G5" s="118" t="inlineStr">
        <is>
          <t>KPI: Defect Rate% · &gt;1.5% monitor, &gt;2% điều tra ngay
KPI: Plan Attainment% · &lt;90% escalate Plant Mgr
Đo lại: Hàng ngày</t>
        </is>
      </c>
      <c r="H5" s="125" t="inlineStr">
        <is>
          <t>🔴</t>
        </is>
      </c>
      <c r="I5" s="125" t="inlineStr">
        <is>
          <t>Sprint 3</t>
        </is>
      </c>
      <c r="J5" s="125" t="inlineStr">
        <is>
          <t>Chưa chạy</t>
        </is>
      </c>
    </row>
    <row r="6" ht="89" customHeight="1" s="98">
      <c r="A6" s="126" t="inlineStr">
        <is>
          <t>Q-15, Q-16, Q-17</t>
        </is>
      </c>
      <c r="B6" s="119" t="inlineStr">
        <is>
          <t>ROAS từng kênh, CAC, và funnel drop-off chưa có số thật.
(Hấp thụ hypothesis ROAS&lt;2.0× liên tiếp — BR-MKT-02 [ex-S5#5], dùng chung mart_roas_by_channel)</t>
        </is>
      </c>
      <c r="C6" s="119" t="inlineStr">
        <is>
          <t>-- ROAS/CAC/Funnel: chưa có, cần viết mới (JOIN fact_ad_spend external CSV JOIN fact_sales on campaign_id)
-- [ex-S5#5] ROAS by channel:
SELECT utm_source.name channel, SUM(sale_order.amount_total) revenue, SUM(stg_ad_spend.spend) spend,
SUM(revenue)/SUM(spend) roas FROM fact_sales JOIN fact_ad_spend USING(campaign_id)
-- cần mart_roas_by_channel đã build</t>
        </is>
      </c>
      <c r="D6" s="119" t="inlineStr">
        <is>
          <t>❓ ROAS từng kênh = SUM(revenue SO gắn campaign)/SUM(spend CSV)?
❓ CAC = Total spend/COUNT(DISTINCT new customers) theo kênh?
❓ Drop-off rate từng bước funnel crm_lead.source_id → SO?
❓ [ex-S5#5] Kênh/campaign nào ROAS &lt;2.0× liên tiếp 2 tháng?</t>
        </is>
      </c>
      <c r="E6" s="119" t="inlineStr">
        <is>
          <t>ROAS thấp → kênh nào: Google Brand? check organic rank (BR-MKT-07)
CAC cao → targeting của kênh trong Ads Manager
Funnel drop → bước Lead→Opportunity hay Opportunity→Quotation?
Lưu ý: 100% UTM tracking bắt buộc (BR-MKT-01) — check %SO không có campaign_id trước</t>
        </is>
      </c>
      <c r="F6" s="119" t="inlineStr">
        <is>
          <t>ROAS &lt;2.0× 2 tháng liên tiếp → Marketing Mgr đề xuất tạm dừng (BR-MKT-02)
CAC &gt;$120 bất kỳ kênh → review ngay (BR-MKT-03)
Funnel drop cụ thể → điều tra và điều chỉnh targeting
[ex-S5#5] Reallocate budget sang kênh ROAS &gt;3.0×</t>
        </is>
      </c>
      <c r="G6" s="119" t="inlineStr">
        <is>
          <t>KPI: ROAS · &lt;2.0× → cắt/pause
KPI: CAC · &gt;$120 review ngay; &gt;$85 monitor
KPI: Lead paid channel · &lt;120/tháng → điều chỉnh budget
Đo lại: Hàng tháng sau ingest ad spend CSV</t>
        </is>
      </c>
      <c r="H6" s="127" t="inlineStr">
        <is>
          <t>🔴</t>
        </is>
      </c>
      <c r="I6" s="127" t="inlineStr">
        <is>
          <t>Sprint 2</t>
        </is>
      </c>
      <c r="J6" s="127" t="inlineStr">
        <is>
          <t>Chưa chạy</t>
        </is>
      </c>
    </row>
    <row r="7" ht="119" customHeight="1" s="98">
      <c r="A7" s="124" t="inlineStr">
        <is>
          <t>Q-06, Q-27</t>
        </is>
      </c>
      <c r="B7" s="118" t="inlineStr">
        <is>
          <t>DSO, AR aging bucket, DPO chưa có số thật.
(Hấp thụ hypothesis AR B2B quá hạn &gt;30 ngày cần trigger credit hold — BR-ACC-04 [ex-S5#6])</t>
        </is>
      </c>
      <c r="C7" s="118" t="inlineStr">
        <is>
          <t>-- DSO/AR/DPO: chưa có, cần viết mới từ account_move
-- [ex-S5#6] AR overdue &gt;30d:
SELECT res_partner.name, account_move.amount_residual,
DATE_PART('day', NOW()-account_move.invoice_date_due) days_overdue
FROM account_move JOIN res_partner ON partner_id
WHERE move_type='out_invoice' AND payment_state!='paid' AND invoice_date_due &lt; NOW()-INTERVAL '30 days'
ORDER BY days_overdue DESC</t>
        </is>
      </c>
      <c r="D7" s="118" t="inlineStr">
        <is>
          <t>❓ DSO = AR outstanding / revenue tháng × days?
❓ % AR bucket &gt;30d / tổng AR — khách nào cần credit hold?
❓ DPO theo từng tháng — vendor bill nào quá hạn Net-30?
❓ [ex-S5#6] Số lượng KH và giá trị AR tồn đọng &gt;30 ngày?</t>
        </is>
      </c>
      <c r="E7" s="118" t="inlineStr">
        <is>
          <t>DSO cao → KH nào chiếm phần lớn AR tồn đọng (top 5 theo amount_residual)
AR &gt;30d → invoice_date vs due_date vs payment_state
DPO cao → NCC nào chưa thanh toán đúng Net-30 (BR-ACC-05)
[ex-S5#6] BR-ACC-04: AR aging alert &gt;30d → cảnh báo Sales; BR-SAL-05: B2B &gt;15d → khóa tín dụng</t>
        </is>
      </c>
      <c r="F7" s="118" t="inlineStr">
        <is>
          <t>DSO &gt;38d → AR Specialist gửi nhắc nợ theo BR-ACC
AR &gt;30d quá 10% → cân nhắc credit hold (BR-SAL-05)
DPO ngoài 28–35d → AP Specialist review payment schedule
[ex-S5#6] AR Specialist follow-up FRD-06 §5.1 Bước 4; CFO review nếu &gt;60 ngày (bad debt provision)</t>
        </is>
      </c>
      <c r="G7" s="118" t="inlineStr">
        <is>
          <t>KPI: DSO · &gt;38d → alert CFO
KPI: AR&gt;30d/total · &gt;10% → review top debtor
KPI: DPO · &lt;28d hay &gt;35d → điều chỉnh
Đo lại: DSO/AR hàng ngày · P&amp;L hàng tháng</t>
        </is>
      </c>
      <c r="H7" s="125" t="inlineStr">
        <is>
          <t>🔴</t>
        </is>
      </c>
      <c r="I7" s="125" t="inlineStr">
        <is>
          <t>Sprint 2</t>
        </is>
      </c>
      <c r="J7" s="125" t="inlineStr">
        <is>
          <t>Chưa chạy</t>
        </is>
      </c>
    </row>
    <row r="8" ht="74" customHeight="1" s="98">
      <c r="A8" s="126" t="inlineStr">
        <is>
          <t>Q-13</t>
        </is>
      </c>
      <c r="B8" s="119" t="inlineStr">
        <is>
          <t>Revenue/AOV theo segment, cohort retention M+1/M+3, và phân phối RFM (Champions/At-Risk) chưa có số thật</t>
        </is>
      </c>
      <c r="C8" s="119" t="inlineStr">
        <is>
          <t>Chưa có — cần viết mới từ res_partner + sale_order (xem WHY)</t>
        </is>
      </c>
      <c r="D8" s="119" t="inlineStr">
        <is>
          <t>❓ Revenue/AOV/Order count theo segment (res_partner.comment)?
❓ Cohort retention M+1, M+3 từ ngày đặt SO đầu tiên?
❓ RFM score phân phối — % KH Champions, At-Risk?</t>
        </is>
      </c>
      <c r="E8" s="119" t="inlineStr">
        <is>
          <t>Segment khác nhau → BR-SAL-04: Corporate Net-30, Consumer pay ngay → AOV tự nhiên khác
Cohort drop → có email nurture sau mua không (mass_mailing gắn partner)
At-Risk → lần mua cuối (MAX(sale_order.date_order)) so với hiện tại</t>
        </is>
      </c>
      <c r="F8" s="119" t="inlineStr">
        <is>
          <t>Repeat &lt;40% → Marketing review email nurture post-purchase
Champions ít → Sales Dir review chính sách loyalty B2B
At-Risk list → Sales Rep follow-up KH chưa mua &gt;90 ngày</t>
        </is>
      </c>
      <c r="G8" s="119" t="inlineStr">
        <is>
          <t>KPI: Repeat Rate · &lt;40%/quý → Marketing review
KPI: RFM Champions% · baseline lần đầu
KPI: At-Risk KH count · tăng MoM → cần retention action
Đo lại: Hàng tháng</t>
        </is>
      </c>
      <c r="H8" s="127" t="inlineStr">
        <is>
          <t>🟡</t>
        </is>
      </c>
      <c r="I8" s="127" t="inlineStr">
        <is>
          <t>Sprint 4</t>
        </is>
      </c>
      <c r="J8" s="127" t="inlineStr">
        <is>
          <t>Chưa chạy</t>
        </is>
      </c>
    </row>
    <row r="9" ht="59" customHeight="1" s="98">
      <c r="A9" s="124" t="inlineStr">
        <is>
          <t>— (chưa có Q-ID, cần bổ sung Data Quality vào Question Registry)</t>
        </is>
      </c>
      <c r="B9" s="118" t="inlineStr">
        <is>
          <t>Một phần SO không có campaign_id → attribution Marketing bị sai lệch (thiếu UTM). Số thật: % SO không có campaign_id chưa biết</t>
        </is>
      </c>
      <c r="C9" s="118" t="inlineStr">
        <is>
          <t>SELECT COUNT(*) FILTER (WHERE campaign_id IS NULL)/COUNT(*) AS missing_utm_rate
FROM sale_order WHERE date_order &gt;= '2026-01-01'
(utm_campaign JOIN sale_order ON campaign_id)</t>
        </is>
      </c>
      <c r="D9" s="118" t="inlineStr">
        <is>
          <t>❓ % SO không có campaign_id theo tháng?</t>
        </is>
      </c>
      <c r="E9" s="118" t="inlineStr">
        <is>
          <t>BR-MKT-01: bắt buộc gắn campaign_id với lead từ paid channel
FRD-02 Exception 1: sales rep nhập thủ công hay bỏ qua UTM field
FRD-02 §5 SOP: UTM chỉ auto-fill khi khách click link quảng cáo</t>
        </is>
      </c>
      <c r="F9" s="118" t="inlineStr">
        <is>
          <t>Nếu &gt;10%: Sales Dir + Marketing Mgr review quy trình nhập SO</t>
        </is>
      </c>
      <c r="G9" s="118" t="inlineStr">
        <is>
          <t>Data quality rule: COUNT(SO NULL campaign_id)/COUNT(SO) theo tháng</t>
        </is>
      </c>
      <c r="H9" s="125" t="inlineStr">
        <is>
          <t>🔴</t>
        </is>
      </c>
      <c r="I9" s="125" t="inlineStr">
        <is>
          <t>—</t>
        </is>
      </c>
      <c r="J9" s="125" t="inlineStr">
        <is>
          <t>Chưa chạy</t>
        </is>
      </c>
    </row>
    <row r="10" ht="59" customHeight="1" s="98">
      <c r="A10" s="126" t="inlineStr">
        <is>
          <t>Q-13</t>
        </is>
      </c>
      <c r="B10" s="119" t="inlineStr">
        <is>
          <t>B2B Corporate chiếm số lượng KH nhỏ nhưng tạo phần lớn doanh thu → nếu mất 1–2 KH lớn, ảnh hưởng lớn. Tỷ lệ thực tế chưa biết</t>
        </is>
      </c>
      <c r="C10" s="119" t="inlineStr">
        <is>
          <t>SELECT res_partner.comment segment, COUNT(*) kh_count, SUM(sale_order.amount_total) revenue
FROM sale_order JOIN res_partner ON partner_id GROUP BY segment</t>
        </is>
      </c>
      <c r="D10" s="119" t="inlineStr">
        <is>
          <t>❓ % doanh thu từ B2B Corporate vs tổng, theo số lượng KH?</t>
        </is>
      </c>
      <c r="E10" s="119" t="inlineStr">
        <is>
          <t>BR-SAL-04: Corporate Net-30, có sales phụ trách, chiết khấu volume → AOV tự nhiên cao hơn
FRD-01 §1: 60% doanh thu B2B, 40% B2C (BRD company profile)
BRD: công ty phát triển từ B2B distributor</t>
        </is>
      </c>
      <c r="F10" s="119" t="inlineStr">
        <is>
          <t>Nếu xác nhận: tập trung retention top Corporate KH, xem xét loyalty bậc, áp dụng RFM (dim_customer.ref)</t>
        </is>
      </c>
      <c r="G10" s="119" t="inlineStr">
        <is>
          <t>% doanh thu top-N Corporate KH / tổng doanh thu</t>
        </is>
      </c>
      <c r="H10" s="127" t="inlineStr">
        <is>
          <t>🟡</t>
        </is>
      </c>
      <c r="I10" s="127" t="inlineStr">
        <is>
          <t>—</t>
        </is>
      </c>
      <c r="J10" s="127" t="inlineStr">
        <is>
          <t>Chưa chạy</t>
        </is>
      </c>
    </row>
    <row r="11" ht="59" customHeight="1" s="98">
      <c r="A11" s="124" t="inlineStr">
        <is>
          <t>— (liên quan Q-20/Q-21 Production nhưng là câu hỏi Purchasing riêng, chưa có Q-ID)</t>
        </is>
      </c>
      <c r="B11" s="118" t="inlineStr">
        <is>
          <t>NVL dự trữ (reorder point = 3 tuần, BR-PUR-06) có thể không đủ buffer nếu NCC giao trễ thường xuyên. Tần suất 'MO waiting vì NVL' chưa biết</t>
        </is>
      </c>
      <c r="C11" s="118" t="inlineStr">
        <is>
          <t>SELECT mrp_production.id, mrp_production.state, stock_move.state component_state
FROM mrp_production JOIN stock_move ON production_id WHERE stock_move.state = 'waiting'</t>
        </is>
      </c>
      <c r="D11" s="118" t="inlineStr">
        <is>
          <t>❓ Tần suất MO bị chặn do NVL chưa đến?</t>
        </is>
      </c>
      <c r="E11" s="118" t="inlineStr">
        <is>
          <t>FRD-05 Exception 1: hết NVL giữa chừng → dừng WO → emergency PO
FRD-03 Exception 4: NCC giao trễ → thiếu NVL
BR-PUR-06: reorder = 3 tuần — nếu NCC lead time &gt;3 tuần sẽ lỗi</t>
        </is>
      </c>
      <c r="F11" s="118" t="inlineStr">
        <is>
          <t>Nếu xác nhận: tăng safety stock 3→4-5 tuần cho NVL critical, hoặc dual-source NCC gỗ/khung thép</t>
        </is>
      </c>
      <c r="G11" s="118" t="inlineStr">
        <is>
          <t>Purchasing Mgr review supplier lead time thực tế vs cam kết</t>
        </is>
      </c>
      <c r="H11" s="125" t="inlineStr">
        <is>
          <t>🔴</t>
        </is>
      </c>
      <c r="I11" s="125" t="inlineStr">
        <is>
          <t>—</t>
        </is>
      </c>
      <c r="J11" s="125" t="inlineStr">
        <is>
          <t>Chưa chạy</t>
        </is>
      </c>
    </row>
    <row r="12" ht="74" customHeight="1" s="98">
      <c r="A12" s="126" t="inlineStr">
        <is>
          <t>Q-06, Q-27</t>
        </is>
      </c>
      <c r="B12" s="119" t="inlineStr">
        <is>
          <t>Có SO mới từ B2B KH đang bị credit hold (quá hạn &gt;15d) mà không được kiểm tra tự động. Cần verify rule Odoo đang hoạt động đúng không</t>
        </is>
      </c>
      <c r="C12" s="119" t="inlineStr">
        <is>
          <t>SELECT sale_order.name, res_partner.name customer, account_move.amount_residual ar_overdue,
DATE_PART('day', NOW()-account_move.invoice_date_due) days
FROM sale_order JOIN res_partner ON partner_id JOIN account_move ON partner_id
WHERE sale_order.state='sale' AND days&gt;15 AND amount_residual&gt;0</t>
        </is>
      </c>
      <c r="D12" s="119" t="inlineStr">
        <is>
          <t>❓ Có SO confirmed nào của KH đang overdue &gt;15d mà không bị chặn?</t>
        </is>
      </c>
      <c r="E12" s="119" t="inlineStr">
        <is>
          <t>BR-SAL-05: B2B quá hạn &gt;15 ngày → khóa tín dụng → đơn mới cần prepay
FRD-01 Exception 5: hệ thống tự check amount_residual → chuyển SO sang prepayment required
Cần verify rule này có đang trigger đúng không</t>
        </is>
      </c>
      <c r="F12" s="119" t="inlineStr">
        <is>
          <t>Nếu rule không hoạt động: rủi ro bad debt. DA tạo data quality check; Chief Accountant + CTO review config Odoo credit limit</t>
        </is>
      </c>
      <c r="G12" s="119" t="inlineStr">
        <is>
          <t>Data quality check: SO confirmed + KH AR overdue &gt;15d</t>
        </is>
      </c>
      <c r="H12" s="127" t="inlineStr">
        <is>
          <t>🟡</t>
        </is>
      </c>
      <c r="I12" s="127" t="inlineStr">
        <is>
          <t>—</t>
        </is>
      </c>
      <c r="J12" s="127" t="inlineStr">
        <is>
          <t>Chưa chạy</t>
        </is>
      </c>
    </row>
    <row r="13" ht="74" customHeight="1" s="98">
      <c r="A13" s="124" t="inlineStr">
        <is>
          <t>Q-21</t>
        </is>
      </c>
      <c r="B13" s="118" t="inlineStr">
        <is>
          <t>Có MO nào thành phẩm nhập kho mà không đi qua Work Order WC-QC (skip QC)? BR-MFG-04 yêu cầu 100% nhưng cần verify data</t>
        </is>
      </c>
      <c r="C13" s="118" t="inlineStr">
        <is>
          <t>SELECT mrp_production.name, mrp_production.state,
COUNT(CASE WHEN mrp_workcenter.name='Quality Control' AND mrp_workorder.state='done' THEN 1 END) qc_done
FROM mrp_production JOIN mrp_workorder ON production_id JOIN mrp_workcenter ON workcenter_id
WHERE mrp_production.state='done' GROUP BY mrp_production.name HAVING qc_done=0</t>
        </is>
      </c>
      <c r="D13" s="118" t="inlineStr">
        <is>
          <t>❓ Có MO done nào không có WC-QC done không?</t>
        </is>
      </c>
      <c r="E13" s="118" t="inlineStr">
        <is>
          <t>BR-MFG-04: tất cả thành phẩm phải qua QC Inspector trước khi nhập kho — không skip
FRD-05 §3 SOP Bước 11: QC Inspector validate → sau đó mới validate MO và nhập kho
Nếu skip: chất lượng không đảm bảo, có thể gây return (FRD-04 Exception 2)</t>
        </is>
      </c>
      <c r="F13" s="118" t="inlineStr">
        <is>
          <t>Nếu phát hiện MO skip QC: Plant Mgr điều tra và enforce lại quy trình. DA tạo dbt test tương ứng</t>
        </is>
      </c>
      <c r="G13" s="118" t="inlineStr">
        <is>
          <t>dbt test: mọi mrp_production.state=done phải có mrp_workorder(WC-QC).state=done</t>
        </is>
      </c>
      <c r="H13" s="125" t="inlineStr">
        <is>
          <t>🟡</t>
        </is>
      </c>
      <c r="I13" s="125" t="inlineStr">
        <is>
          <t>—</t>
        </is>
      </c>
      <c r="J13" s="125" t="inlineStr">
        <is>
          <t>Chưa chạy</t>
        </is>
      </c>
    </row>
    <row r="14" ht="59" customHeight="1" s="98">
      <c r="A14" s="126" t="inlineStr">
        <is>
          <t>Q-06, Q-27</t>
        </is>
      </c>
      <c r="B14" s="119" t="inlineStr">
        <is>
          <t>Có cơ hội tiết kiệm 2% trên AP bằng cách tận dụng 2/10 Net-30 từ NCC khi cash flow tốt. Tỷ lệ tận dụng hiện tại chưa đo được</t>
        </is>
      </c>
      <c r="C14" s="119" t="inlineStr">
        <is>
          <t>SELECT account_move.name, account_payment.payment_date, account_move.invoice_date,
DATE_PART('day', account_payment.payment_date - account_move.invoice_date) days_to_pay
FROM account_move JOIN account_payment ON reconcile_id WHERE move_type = 'in_invoice'</t>
        </is>
      </c>
      <c r="D14" s="119" t="inlineStr">
        <is>
          <t>❓ Phân phối days_to_pay: &lt;10d (early) vs 25-35d (on-time) vs &gt;35d (late)?</t>
        </is>
      </c>
      <c r="E14" s="119" t="inlineStr">
        <is>
          <t>BR-ACC-05: tận dụng 2/10 Net-30 từ NCC khi cash flow cho phép
FRD-06 §3 flowchart: AP có nhánh 'Early payment discount có lợi?'
FRD-03 BR-PUR-05: mặc định Net-30; early pay 2/10 khi cash flow cho phép</t>
        </is>
      </c>
      <c r="F14" s="119" t="inlineStr">
        <is>
          <t>CFO + AP Specialist xác định tháng nào cash flow đủ để trả sớm. Tính potential saving = 2% × tổng AP tháng</t>
        </is>
      </c>
      <c r="G14" s="119" t="inlineStr">
        <is>
          <t>COUNT(bills paid before day 10)/COUNT(total bills) per month</t>
        </is>
      </c>
      <c r="H14" s="127" t="inlineStr">
        <is>
          <t>💡</t>
        </is>
      </c>
      <c r="I14" s="127" t="inlineStr">
        <is>
          <t>—</t>
        </is>
      </c>
      <c r="J14" s="127" t="inlineStr">
        <is>
          <t>Chưa chạy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tabSelected="0" zoomScale="160" zoomScaleNormal="160" workbookViewId="0">
      <pane ySplit="2" topLeftCell="A3" activePane="bottomLeft" state="frozen"/>
      <selection pane="bottomLeft" activeCell="C1" sqref="C1"/>
      <selection pane="bottomLeft" activeCell="A3" sqref="A3"/>
      <selection pane="bottomRight" activeCell="I10" sqref="I10"/>
    </sheetView>
  </sheetViews>
  <sheetFormatPr baseColWidth="10" defaultColWidth="8.83203125" defaultRowHeight="15"/>
  <cols>
    <col width="9" customWidth="1" style="98" min="1" max="1"/>
    <col width="20" customWidth="1" style="98" min="2" max="2"/>
    <col width="26" customWidth="1" style="98" min="3" max="3"/>
    <col width="24" bestFit="1" customWidth="1" style="98" min="4" max="4"/>
    <col width="14" customWidth="1" style="81" min="5" max="5"/>
    <col width="40" customWidth="1" style="98" min="6" max="6"/>
    <col width="40" customWidth="1" style="98" min="7" max="7"/>
    <col width="34" customWidth="1" style="98" min="8" max="8"/>
    <col width="16" customWidth="1" style="98" min="9" max="10"/>
    <col width="10" customWidth="1" style="98" min="10" max="10"/>
    <col width="16" customWidth="1" style="89" min="11" max="11"/>
    <col width="14" customWidth="1" style="89" min="12" max="12"/>
  </cols>
  <sheetData>
    <row r="1" ht="30" customHeight="1" s="98">
      <c r="A1" s="113" t="inlineStr">
        <is>
          <t>4️⃣  DASHBOARD BLUEPRINT — 11 Report / 19 Page | Nguồn: FRD-07-08 §6 + FRD-01→06 §7 | v3: rút gọn từ 19 dashboard, sửa lỗi copy-paste KPI/Chart</t>
        </is>
      </c>
      <c r="B1" s="114" t="n"/>
      <c r="C1" s="114" t="n"/>
      <c r="D1" s="114" t="n"/>
      <c r="E1" s="114" t="n"/>
      <c r="F1" s="114" t="n"/>
      <c r="G1" s="114" t="n"/>
      <c r="H1" s="114" t="n"/>
      <c r="I1" s="114" t="n"/>
      <c r="J1" s="114" t="n"/>
    </row>
    <row r="2" ht="32" customHeight="1" s="98">
      <c r="A2" s="117" t="inlineStr">
        <is>
          <t>RPT-ID</t>
        </is>
      </c>
      <c r="B2" s="117" t="inlineStr">
        <is>
          <t>Report Name</t>
        </is>
      </c>
      <c r="C2" s="117" t="inlineStr">
        <is>
          <t>Pages (dashboard gốc)</t>
        </is>
      </c>
      <c r="D2" s="117" t="inlineStr">
        <is>
          <t>Stakeholder Chính</t>
        </is>
      </c>
      <c r="E2" s="117" t="inlineStr">
        <is>
          <t>Domain</t>
        </is>
      </c>
      <c r="F2" s="117" t="inlineStr">
        <is>
          <t>KPI List + Ngưỡng (theo page)</t>
        </is>
      </c>
      <c r="G2" s="117" t="inlineStr">
        <is>
          <t>Chart List (theo page)</t>
        </is>
      </c>
      <c r="H2" s="117" t="inlineStr">
        <is>
          <t>Nguồn dbt Gold/Mart (chi tiết ở Sheet 6️⃣)</t>
        </is>
      </c>
      <c r="I2" s="117" t="inlineStr">
        <is>
          <t>Refresh</t>
        </is>
      </c>
      <c r="J2" s="117" t="inlineStr">
        <is>
          <t>Priority</t>
        </is>
      </c>
    </row>
    <row r="3" ht="44" customHeight="1" s="98">
      <c r="A3" s="124" t="inlineStr">
        <is>
          <t>RPT-01</t>
        </is>
      </c>
      <c r="B3" s="118" t="inlineStr">
        <is>
          <t>Executive</t>
        </is>
      </c>
      <c r="C3" s="118" t="inlineStr">
        <is>
          <t>CEO Executive Scorecard
Previous &amp; Actual Sales Trend (Waterfall)</t>
        </is>
      </c>
      <c r="D3" s="118" t="inlineStr">
        <is>
          <t>CEO Michael Tran · CFO Sarah Whitman</t>
        </is>
      </c>
      <c r="E3" s="118" t="inlineStr">
        <is>
          <t>E-com + Finance</t>
        </is>
      </c>
      <c r="F3" s="118" t="inlineStr">
        <is>
          <t>▸ CEO Executive Scorecard: 6 KPI card (Revenue/Profit/Orders/Qty/Margin%/YoY%) — BRD §3 Vấn đề 1 (single source of truth)
▸ Sales Trend Waterfall: PY vs AC theo tháng, YoY% — dùng chung ngưỡng Revenue/Profit ở trên</t>
        </is>
      </c>
      <c r="G3" s="118" t="inlineStr">
        <is>
          <t>▸ Scorecard: Waterfall Revenue by Category · Line Revenue+Profit MoM · Scorecard 8 BO progress · 4 cross-domain KPI card (OEE/OTD/DSO/ROAS)
▸ Sales Trend: IBCS Waterfall bridge PY→delta→AC · Quarterly IBCS table PY/AC/ΔPY/ΔPY% · % change label mỗi tháng</t>
        </is>
      </c>
      <c r="H3" s="118" t="inlineStr">
        <is>
          <t>Không có mart tổng hợp toàn công ty. JOIN mart_revenue_monthly + mart_pnl_monthly + mart_dso_monthly
+ mart_delivery_performance + mart_roas_by_channel (chi tiết: Sheet 6️⃣)</t>
        </is>
      </c>
      <c r="I3" s="125" t="inlineStr">
        <is>
          <t>Hằng ngày (Scorecard) · Hàng tháng (Sales Trend)</t>
        </is>
      </c>
      <c r="J3" s="125" t="inlineStr">
        <is>
          <t>🔴 P0</t>
        </is>
      </c>
    </row>
    <row r="4" ht="74" customHeight="1" s="98">
      <c r="A4" s="126" t="inlineStr">
        <is>
          <t>RPT-02</t>
        </is>
      </c>
      <c r="B4" s="119" t="inlineStr">
        <is>
          <t>Finance</t>
        </is>
      </c>
      <c r="C4" s="119" t="inlineStr">
        <is>
          <t>Finance P&amp;L Dashboard
Cash Flow Dashboard
Balance Sheet Dashboard
IBCS Column Chart — 3 Scenarios</t>
        </is>
      </c>
      <c r="D4" s="119" t="inlineStr">
        <is>
          <t>CFO Sarah Whitman · Chief Accountant Robert Hayes</t>
        </is>
      </c>
      <c r="E4" s="119" t="inlineStr">
        <is>
          <t>Finance / Banking</t>
        </is>
      </c>
      <c r="F4" s="119" t="inlineStr">
        <is>
          <t>▸ P&amp;L: Gross Revenue TK 4000/4010/4020 · COGS TK 5000/5010/5020 · Gross Margin% = (Rev−COGS)/Rev · Opex TK 6000–6900 · Đóng sổ trước ngày 5 (FRD-06 §5.3)
▸ Cash Flow: Operating/Investing/Financing CF · Cash Runway (BRD BO-07)
▸ Balance Sheet: Current Ratio · Quick Ratio · D-E Ratio · Working Capital · Net Worth (BRD BO-07)
▸ IBCS 3 Scenarios: PY/AC/PL theo tháng — ⚠️ scenario PL không có nguồn dữ liệu ngân sách trong 37 bảng ERD</t>
        </is>
      </c>
      <c r="G4" s="119" t="inlineStr">
        <is>
          <t>▸ P&amp;L: Waterfall P&amp;L bridge (Revenue→GP→EBIT) · Bar Gross Margin% by Category · Line Net Revenue YoY · IBCS Variance table (PY/AC/PL) · Variance by Cost Center/GL Account
▸ Cash Flow: KPI Cards Operating/Investing/Financing CF · Stacked Bar CF by Category · Waterfall FCF · Line Cash Position · Gauge Cash Runway
▸ Balance Sheet: KPI Cards Current/Quick/D-E Ratio/Working Capital/Net Worth · Stacked Bar Asset+Liability · Line Ratio Trend · IBCS Variance · Net Worth Waterfall
▸ IBCS: Monthly table PY/AC/PL · IBCS column chart 3 kịch bản (black=AC, grey=PY, triangle=PL) · CAGR cards · Field Parameters slicer</t>
        </is>
      </c>
      <c r="H4" s="119" t="inlineStr">
        <is>
          <t>mart_pnl_monthly ✅ cho P&amp;L &amp; IBCS (AC/PY) · Balance Sheet &amp; Cash Flow KHÔNG có mart riêng
(JOIN fact_journal_entries+dim_account cho BS; fact_payment_allocation+fact_journal_entries cho CF, ⚠️ thiếu fact bank statement)
⚠️ Scenario PL không có nguồn (chi tiết: Sheet 6️⃣)</t>
        </is>
      </c>
      <c r="I4" s="127" t="inlineStr">
        <is>
          <t>Hàng tháng (sau đóng sổ D+5)</t>
        </is>
      </c>
      <c r="J4" s="127" t="inlineStr">
        <is>
          <t>🔴 P0</t>
        </is>
      </c>
    </row>
    <row r="5" ht="59" customHeight="1" s="98">
      <c r="A5" s="124" t="inlineStr">
        <is>
          <t>RPT-03</t>
        </is>
      </c>
      <c r="B5" s="118" t="inlineStr">
        <is>
          <t>AR/AP</t>
        </is>
      </c>
      <c r="C5" s="118" t="inlineStr">
        <is>
          <t>AR Aging Dashboard
AP Aging &amp; P2P Dashboard</t>
        </is>
      </c>
      <c r="D5" s="118" t="inlineStr">
        <is>
          <t>AR Specialist · Chief Accountant Robert Hayes · Purchasing Manager Priya Sharma</t>
        </is>
      </c>
      <c r="E5" s="118" t="inlineStr">
        <is>
          <t>Finance / Banking</t>
        </is>
      </c>
      <c r="F5" s="118" t="inlineStr">
        <is>
          <t>▸ AR Aging: DSO ≤ 38 ngày (FRD-06 KPI) · AR &gt;30d ≤ 10% (FRD-06 KPI) · Credit hold alert (BR-ACC-04) · B2C thanh toán ngay (BR-SAL-04) · B2B Net-30 (BR-SAL-04)
▸ AP &amp; P2P: DPO 28–35 ngày (FRD-06 KPI) · 3-way match 100% (BR-PUR-04, BR-ACC-07) · Unmatched bill &gt; 5 ngày = 0 (BR-PUR-07)
  · Fill Rate ≥ 95% (FRD-04 KPI) · Early payment discount 2/10 Net-30 khi cash flow cho phép (BR-ACC-05)</t>
        </is>
      </c>
      <c r="G5" s="118" t="inlineStr">
        <is>
          <t>▸ AR Aging: Stacked Bar buckets (Current/1–30/31–60/61–90/&gt;90) · Line DSO trend vs ≤38d · Table Top 10 KH AR tồn đọng · Gauge %AR&gt;30d vs ≤10% · Alert list KH &gt;15d credit hold
▸ AP &amp; P2P: Gauge 3-way match rate vs 100% · Stacked Bar AP Aging by vendor · Line DPO trend vs 28–35d · Table Top 10 NCC AP tồn đọng
  · Bar Fill Rate by Vendor · Funnel P2P PO→GR→3-way→Bill→Payment · Table unmatched bills &gt;5 ngày · Bar early payment discount captured vs missed</t>
        </is>
      </c>
      <c r="H5" s="118" t="inlineStr">
        <is>
          <t>mart_ar_aging ✅ (AR) · mart_vendor_performance ✅ chỉ có fill_rate/late_count/po_count (P2P)
⚠️ KHÔNG có mart AP Aging (bucket nợ NCC) (chi tiết: Sheet 6️⃣)</t>
        </is>
      </c>
      <c r="I5" s="125" t="inlineStr">
        <is>
          <t>Hằng ngày (AR) · Hàng ngày AP / Hàng tuần P2P</t>
        </is>
      </c>
      <c r="J5" s="125" t="inlineStr">
        <is>
          <t>🔴 P0</t>
        </is>
      </c>
    </row>
    <row r="6" ht="59" customHeight="1" s="98">
      <c r="A6" s="126" t="inlineStr">
        <is>
          <t>RPT-04</t>
        </is>
      </c>
      <c r="B6" s="119" t="inlineStr">
        <is>
          <t>Sales</t>
        </is>
      </c>
      <c r="C6" s="119" t="inlineStr">
        <is>
          <t>Sales Performance Dashboard
Operation Dashboard</t>
        </is>
      </c>
      <c r="D6" s="119" t="inlineStr">
        <is>
          <t>Sales Director David Okafor · Regional Sales Mgr ×4 · Ops Manager</t>
        </is>
      </c>
      <c r="E6" s="119" t="inlineStr">
        <is>
          <t>E-com/Retail</t>
        </is>
      </c>
      <c r="F6" s="119" t="inlineStr">
        <is>
          <t>▸ Sales Performance: Revenue by Region vs Plan (FRD-01) · Lead→SO Conv ≥25% · AOV ≥$450 · On-time fulfillment ≥92% · Lead mới ≥120/tháng · Repeat rate ≥40%/quý
▸ Operation: theo dõi O2C thời gian thực, refresh hằng ngày (BRD BO-02)</t>
        </is>
      </c>
      <c r="G6" s="119" t="inlineStr">
        <is>
          <t>▸ Sales Performance: Map/Bar Revenue by Region+ΔPlan% · Funnel Lead→Opp→Quotation→SO · Line AOV trend vs $450 · Bar Revenue by Category · Table Top 20 SO · Heatmap Conv% Region×Segment
▸ Operation: 4×KPI Card MTD (Revenue/Profit/Qty/Txn) vs Day LM &amp; MTD LM · Bar daily+AVG dashed line · Donut Weekday vs Weekend
  · Bar+ΔLM% Top sub_category · Bar Top 5 product · Heatmap calendar ngày×tuần · Bar+ΔLM Revenue by State/Region</t>
        </is>
      </c>
      <c r="H6" s="119" t="inlineStr">
        <is>
          <t>fact_sales ✅ + mart_revenue_monthly ✅ (partial, theo THÁNG) + fact_crm_funnel ✅
⚠️ Operation cần grain theo NGÀY — JOIN trực tiếp fact_sales, không qua mart (chi tiết: Sheet 6️⃣)</t>
        </is>
      </c>
      <c r="I6" s="127" t="inlineStr">
        <is>
          <t>Hằng ngày (refresh 06:00AM)</t>
        </is>
      </c>
      <c r="J6" s="127" t="inlineStr">
        <is>
          <t>🔴 P0</t>
        </is>
      </c>
    </row>
    <row r="7" ht="44" customHeight="1" s="98">
      <c r="A7" s="124" t="inlineStr">
        <is>
          <t>RPT-05</t>
        </is>
      </c>
      <c r="B7" s="118" t="inlineStr">
        <is>
          <t>Product &amp; Pricing</t>
        </is>
      </c>
      <c r="C7" s="118" t="inlineStr">
        <is>
          <t>Product Pareto Analysis
Discount Elasticity &amp; Pareto</t>
        </is>
      </c>
      <c r="D7" s="118" t="inlineStr">
        <is>
          <t>Sales Director David Okafor · Finance/Pricing Team · Product Manager</t>
        </is>
      </c>
      <c r="E7" s="118" t="inlineStr">
        <is>
          <t>E-com/Retail</t>
        </is>
      </c>
      <c r="F7" s="118" t="inlineStr">
        <is>
          <t>▸ Product Pareto: Top sản phẩm theo doanh thu, group A+/A/Others, threshold mặc định 80% (So Tay §3.6)
▸ Discount Elasticity: breakeven discount, discount gap, R² hồi quy discount vs margin (So Tay §3.6)</t>
        </is>
      </c>
      <c r="G7" s="118" t="inlineStr">
        <is>
          <t>▸ Product Pareto: Paginated table Group A+/A/Others · Rank · Value bar · Value $ · Cumulative $ · GT% · %Cumulative · Threshold điều chỉnh được (default 80%)
▸ Discount Elasticity: Profit Waterfall by sub_category · Pareto chart cum% line · Scatter Avg Discount×Profit Margin (bubble) · Regression table Breakeven/Gap/R²/Recommendation</t>
        </is>
      </c>
      <c r="H7" s="118" t="inlineStr">
        <is>
          <t>Không có mart riêng cho cả 2 page — JOIN fact_sales + dim_product (chi tiết: Sheet 6️⃣)</t>
        </is>
      </c>
      <c r="I7" s="125" t="inlineStr">
        <is>
          <t>Hàng tháng</t>
        </is>
      </c>
      <c r="J7" s="125" t="inlineStr">
        <is>
          <t>🟡 P1</t>
        </is>
      </c>
    </row>
    <row r="8" ht="44" customHeight="1" s="98">
      <c r="A8" s="126" t="inlineStr">
        <is>
          <t>RPT-06</t>
        </is>
      </c>
      <c r="B8" s="119" t="inlineStr">
        <is>
          <t>Customer Analytics</t>
        </is>
      </c>
      <c r="C8" s="119" t="inlineStr">
        <is>
          <t>Customer Segmentation (RFM Overview)
Cohort &amp; Sankey</t>
        </is>
      </c>
      <c r="D8" s="119" t="inlineStr">
        <is>
          <t>Marketing Manager Anna Kowalski · CRM/Growth Team · Sales Director</t>
        </is>
      </c>
      <c r="E8" s="119" t="inlineStr">
        <is>
          <t>Digital Marketing</t>
        </is>
      </c>
      <c r="F8" s="119" t="inlineStr">
        <is>
          <t>▸ RFM Overview: phân khúc R/F/M theo khách, filter state/year
▸ Cohort &amp; Sankey: retention theo cohort_month, RFM migration flow qua các năm</t>
        </is>
      </c>
      <c r="G8" s="119" t="inlineStr">
        <is>
          <t>▸ RFM Overview: Scatter/detail table R×F×M per customer · Total customer count +ΔPY · Filter state, year
▸ Cohort &amp; Sankey: 4 cohort heatmap (1/năm 2017–2020, tháng 0–11) · Sankey migration diagram RFM segment flow</t>
        </is>
      </c>
      <c r="H8" s="119" t="inlineStr">
        <is>
          <t>Không có mart RFM động hay mart cohort/migration. dim_customer.rfm_profile chỉ là field TĨNH.
Cohort/migration phải self-join fact_sales + dim_customer + dim_date (chi tiết: Sheet 6️⃣)</t>
        </is>
      </c>
      <c r="I8" s="127" t="inlineStr">
        <is>
          <t>Hàng tháng</t>
        </is>
      </c>
      <c r="J8" s="127" t="inlineStr">
        <is>
          <t>🟡 P1</t>
        </is>
      </c>
    </row>
    <row r="9" ht="44" customHeight="1" s="98">
      <c r="A9" s="124" t="inlineStr">
        <is>
          <t>RPT-07</t>
        </is>
      </c>
      <c r="B9" s="118" t="inlineStr">
        <is>
          <t>Marketing ROAS</t>
        </is>
      </c>
      <c r="C9" s="118" t="inlineStr">
        <is>
          <t>Marketing ROAS Dashboard</t>
        </is>
      </c>
      <c r="D9" s="118" t="inlineStr">
        <is>
          <t>Marketing Manager Anna Kowalski</t>
        </is>
      </c>
      <c r="E9" s="118" t="inlineStr">
        <is>
          <t>Digital Marketing</t>
        </is>
      </c>
      <c r="F9" s="118" t="inlineStr">
        <is>
          <t>ROAS ≥3.0× tổng paid (FRD-02) · ROAS ≥2.0× từng kênh (BR-MKT-02) · CAC ≤$85/ceiling $120 (BR-MKT-03) · Email Open Rate ≥22% · Email CTR ≥3.5% · Lead mới ≥120/tháng</t>
        </is>
      </c>
      <c r="G9" s="118" t="inlineStr">
        <is>
          <t>Bar ROAS by Campaign (🔴&lt;2×/🟡2–3×/🟢≥3×) · Line Ad Spend vs Revenue MoM · Funnel Impression→Click→Lead→SO · Scatter CTR vs CVR by Campaign · Table Email stats · Bar CAC by Channel</t>
        </is>
      </c>
      <c r="H9" s="118" t="inlineStr">
        <is>
          <t>mart_roas_by_channel ✅ (SOURCE: fact_ad_spend JOIN fact_sales on campaign_sk)
CSV ngoài (stg_ad_performance_daily) — KHÔNG dùng mailing.trace của Odoo (chi tiết: Sheet 6️⃣)</t>
        </is>
      </c>
      <c r="I9" s="125" t="inlineStr">
        <is>
          <t>Hàng tháng (sau ingest CSV)</t>
        </is>
      </c>
      <c r="J9" s="125" t="inlineStr">
        <is>
          <t>🟡 P1</t>
        </is>
      </c>
    </row>
    <row r="10" ht="44" customHeight="1" s="98">
      <c r="A10" s="126" t="inlineStr">
        <is>
          <t>RPT-08</t>
        </is>
      </c>
      <c r="B10" s="119" t="inlineStr">
        <is>
          <t>Logistics &amp; Inventory</t>
        </is>
      </c>
      <c r="C10" s="119" t="inlineStr">
        <is>
          <t>Logistics &amp; Inventory Dashboard</t>
        </is>
      </c>
      <c r="D10" s="119" t="inlineStr">
        <is>
          <t>Warehouse Mgr James Park · Warehouse Supervisor ×4 · Purchasing Manager Priya Sharma</t>
        </is>
      </c>
      <c r="E10" s="119" t="inlineStr">
        <is>
          <t>Logistics</t>
        </is>
      </c>
      <c r="F10" s="119" t="inlineStr">
        <is>
          <t>Order Fill Rate ≥95% (FRD-04) · OTD ≥92% (FRD-04) · Inventory Accuracy &lt;2% · Giao sai/thiếu &lt;0.5% · Inventory Turnover 6–8 lần/năm · Pick&amp;Pack SLA (BR-WH-07)</t>
        </is>
      </c>
      <c r="G10" s="119" t="inlineStr">
        <is>
          <t>Gauge OTD% vs 92% · Bar Fill Rate by Warehouse ×4 · Aging Days-of-Supply by SKU · Line Inventory Accuracy% trend
Heatmap Late% Region×Ship Mode · Bar Carrier Scorecard · Bar Delay Reason Pareto · Scatter Stock vs Reorder Point</t>
        </is>
      </c>
      <c r="H10" s="119" t="inlineStr">
        <is>
          <t>mart_delivery_performance ✅ + fact_inventory_balance ✅
⚠️ Không có reorder point/safety stock trong 37 bảng ERD (chi tiết: Sheet 6️⃣)</t>
        </is>
      </c>
      <c r="I10" s="127" t="inlineStr">
        <is>
          <t>Hằng ngày</t>
        </is>
      </c>
      <c r="J10" s="127" t="inlineStr">
        <is>
          <t>🔴 P0</t>
        </is>
      </c>
    </row>
    <row r="11" ht="44" customHeight="1" s="98">
      <c r="A11" s="124" t="inlineStr">
        <is>
          <t>RPT-09</t>
        </is>
      </c>
      <c r="B11" s="118" t="inlineStr">
        <is>
          <t>Manufacturing OEE</t>
        </is>
      </c>
      <c r="C11" s="118" t="inlineStr">
        <is>
          <t>Manufacturing KPI + OEE</t>
        </is>
      </c>
      <c r="D11" s="118" t="inlineStr">
        <is>
          <t>Plant Manager Elena Rodriguez · Production Planner</t>
        </is>
      </c>
      <c r="E11" s="118" t="inlineStr">
        <is>
          <t>Production</t>
        </is>
      </c>
      <c r="F11" s="118" t="inlineStr">
        <is>
          <t>OEE tổng ≥85% (FRD-05 KPI) · Defect Rate ≤1.5% — &gt;2% điều tra ngay (BR-MFG-05) · Plan Attainment ≥95% (BRD BO-06 + BR-MFG-07: max 1.100 sp/tháng) · Downtime theo Vital Few Pareto</t>
        </is>
      </c>
      <c r="G11" s="118" t="inlineStr">
        <is>
          <t>3 Gauges Availability/Performance/Quality by WC · Gauge OEE tổng ≥85% · Bar Downtime Pareto (Vital Few)
Line OEE+MTBF trend MoM · Bar MO Plan vs Actual output · Pareto Defect by product+scrap reason · Table Top MO trễ</t>
        </is>
      </c>
      <c r="H11" s="118" t="inlineStr">
        <is>
          <t>mart_oee_by_workcenter_monthly ✅ + fact_workorder ✅
⚠️ Không có mart Plan Attainment/Downtime Pareto riêng — tự tính từ fact_manufacturing_oee.loss_type + fact_workorder (chi tiết: Sheet 6️⃣)</t>
        </is>
      </c>
      <c r="I11" s="125" t="inlineStr">
        <is>
          <t>Hằng ngày</t>
        </is>
      </c>
      <c r="J11" s="125" t="inlineStr">
        <is>
          <t>🟡 P1</t>
        </is>
      </c>
    </row>
    <row r="12" ht="30" customHeight="1" s="98">
      <c r="A12" s="126" t="inlineStr">
        <is>
          <t>RPT-10</t>
        </is>
      </c>
      <c r="B12" s="119" t="inlineStr">
        <is>
          <t>HR Headcount</t>
        </is>
      </c>
      <c r="C12" s="119" t="inlineStr">
        <is>
          <t>HR Headcount Dashboard</t>
        </is>
      </c>
      <c r="D12" s="119" t="inlineStr">
        <is>
          <t>HR Generalist · CFO Sarah Whitman</t>
        </is>
      </c>
      <c r="E12" s="119" t="inlineStr">
        <is>
          <t>HR + Finance</t>
        </is>
      </c>
      <c r="F12" s="119" t="inlineStr">
        <is>
          <t>Hồ sơ nhân viên đầy đủ 100% (FRD-07) · Turnover ≤15%/năm · Onboarding ≤5 ngày · Contract gia hạn trước 30 ngày (BR-HR-03) · Contract active wage ≥ Federal Min $7.25/h (BR-HR-04)</t>
        </is>
      </c>
      <c r="G12" s="119" t="inlineStr">
        <is>
          <t>Bar Headcount by Department (8 phòng) · Line Turnover Rate trend vs ≤15%/năm · Table Contract sắp hết hạn 30 ngày · Bar Payroll Cost by Department · Table Onboarding pipeline</t>
        </is>
      </c>
      <c r="H12" s="119" t="inlineStr">
        <is>
          <t>Không có fact/mart HR — CHỈ có dim_employee ✅ (SCD2 từ hr_contract), headcount/turnover tính trực tiếp từ dim_employee (chi tiết: Sheet 6️⃣)</t>
        </is>
      </c>
      <c r="I12" s="127" t="inlineStr">
        <is>
          <t>Hàng tuần</t>
        </is>
      </c>
      <c r="J12" s="127" t="inlineStr">
        <is>
          <t>🟡 P1</t>
        </is>
      </c>
    </row>
    <row r="13" ht="30" customHeight="1" s="98">
      <c r="A13" s="124" t="inlineStr">
        <is>
          <t>RPT-11</t>
        </is>
      </c>
      <c r="B13" s="118" t="inlineStr">
        <is>
          <t>Data Ops Health</t>
        </is>
      </c>
      <c r="C13" s="118" t="inlineStr">
        <is>
          <t>Data Ops Health Dashboard</t>
        </is>
      </c>
      <c r="D13" s="118" t="inlineStr">
        <is>
          <t>Data Analyst — IT &amp; Data · CEO (alert only) · CFO (alert only)</t>
        </is>
      </c>
      <c r="E13" s="118" t="inlineStr">
        <is>
          <t>Data Ops — Tất cả Domain</t>
        </is>
      </c>
      <c r="F13" s="118" t="inlineStr">
        <is>
          <t>Pipeline lag → 0 rows (BR-DATA-01) · Kafka consumer lag &lt;1.000 msgs · dbt test pass 100% (BR-DATA-02) · Airflow DAG success=100% (BR-DATA-05: 02:00AM daily) · Freshness &lt;24h mọi mart table</t>
        </is>
      </c>
      <c r="G13" s="118" t="inlineStr">
        <is>
          <t>Table Airflow DAG run status · Bar dbt test pass/fail by model · Gauge Kafka consumer lag · Line Pipeline runtime trend MoM · Alert Panel P0/P1/P2 · Table Mart freshness</t>
        </is>
      </c>
      <c r="H13" s="118" t="inlineStr">
        <is>
          <t>Không nằm trong 37 bảng star-schema-da.html — đọc trực tiếp ops infra (Airflow metadata, dbt artifacts, Kafka lag), ngoài phạm vi star schema (chi tiết: Sheet 6️⃣)</t>
        </is>
      </c>
      <c r="I13" s="125" t="inlineStr">
        <is>
          <t>Hằng ngày (auto-alert 03:00AM nếu DAG fail)</t>
        </is>
      </c>
      <c r="J13" s="125" t="inlineStr">
        <is>
          <t>🔴 P0</t>
        </is>
      </c>
    </row>
    <row r="14" ht="84" customHeight="1" s="98"/>
    <row r="15" ht="130" customHeight="1" s="98"/>
    <row r="16" ht="96" customHeight="1" s="98"/>
    <row r="17" ht="84" customHeight="1" s="98"/>
    <row r="18" ht="117" customHeight="1" s="98"/>
    <row r="19" ht="117" customHeight="1" s="98"/>
    <row r="20" ht="91" customHeight="1" s="98"/>
    <row r="21" ht="144" customHeight="1" s="98"/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tabSelected="0" zoomScale="160" zoomScaleNormal="160" workbookViewId="0">
      <pane ySplit="2" topLeftCell="A3" activePane="bottomLeft" state="frozen"/>
      <selection pane="bottomLeft" activeCell="C1" sqref="C1"/>
      <selection pane="bottomLeft" activeCell="A3" sqref="A3"/>
      <selection pane="bottomRight" activeCell="D3" sqref="D3"/>
    </sheetView>
  </sheetViews>
  <sheetFormatPr baseColWidth="10" defaultColWidth="8.83203125" defaultRowHeight="15"/>
  <cols>
    <col width="9" customWidth="1" style="98" min="1" max="1"/>
    <col width="20" customWidth="1" style="98" min="2" max="2"/>
    <col width="34" customWidth="1" style="98" min="3" max="3"/>
    <col width="30" customWidth="1" style="98" min="4" max="6"/>
    <col width="28" customWidth="1" style="98" min="5" max="5"/>
    <col width="26" customWidth="1" style="98" min="6" max="6"/>
    <col width="30" customWidth="1" style="98" min="7" max="8"/>
    <col width="24" customWidth="1" style="98" min="8" max="8"/>
    <col width="16" customWidth="1" style="98" min="9" max="9"/>
    <col width="14" customWidth="1" style="98" min="10" max="10"/>
  </cols>
  <sheetData>
    <row r="1" ht="30" customHeight="1" s="98">
      <c r="A1" s="113" t="inlineStr">
        <is>
          <t>6️⃣  DATA SOURCE MAP — 11 Report | Nguồn chân lý bảng: star-schema-da.html (37 bảng) | Report Name = VLOOKUP thật từ Sheet 4️⃣, không lệch tên</t>
        </is>
      </c>
      <c r="B1" s="114" t="n"/>
      <c r="C1" s="114" t="n"/>
      <c r="D1" s="114" t="n"/>
      <c r="E1" s="114" t="n"/>
      <c r="F1" s="114" t="n"/>
      <c r="G1" s="114" t="n"/>
      <c r="H1" s="114" t="n"/>
    </row>
    <row r="2" ht="32" customHeight="1" s="98">
      <c r="A2" s="117" t="inlineStr">
        <is>
          <t>RPT-ID</t>
        </is>
      </c>
      <c r="B2" s="117" t="inlineStr">
        <is>
          <t>Report Name
(VLOOKUP ← Sheet 4️⃣)</t>
        </is>
      </c>
      <c r="C2" s="117" t="inlineStr">
        <is>
          <t>dbt Gold / Mart Model</t>
        </is>
      </c>
      <c r="D2" s="117" t="inlineStr">
        <is>
          <t>dbt Silver / Staging</t>
        </is>
      </c>
      <c r="E2" s="117" t="inlineStr">
        <is>
          <t>Odoo Source Tables</t>
        </is>
      </c>
      <c r="F2" s="117" t="inlineStr">
        <is>
          <t>External Source</t>
        </is>
      </c>
      <c r="G2" s="117" t="inlineStr">
        <is>
          <t>CDC Pipeline Layer</t>
        </is>
      </c>
      <c r="H2" s="117" t="inlineStr">
        <is>
          <t>SCD2 Cần Thiết</t>
        </is>
      </c>
    </row>
    <row r="3" ht="134" customHeight="1" s="98">
      <c r="A3" s="124" t="inlineStr">
        <is>
          <t>RPT-01</t>
        </is>
      </c>
      <c r="B3" s="118">
        <f>'4️⃣ Dashboard Blueprint'!B3</f>
        <v/>
      </c>
      <c r="C3" s="118" t="inlineStr">
        <is>
          <t>▸ CEO Executive Scorecard:
Không có mart tổng hợp toàn công ty trong 10 mart hiện có.
JOIN theo month_date_key: mart_revenue_monthly + mart_pnl_monthly + mart_dso_monthly + mart_delivery_performance + mart_roas_by_channel
▸ Previous &amp; Actual Sales Trend (Waterfall):
mart_revenue_monthly ✅ (region × category_l1 × month)
PY/AC delta = LAG() trên month_date_key ở BI layer</t>
        </is>
      </c>
      <c r="D3" s="118" t="inlineStr">
        <is>
          <t>▸ CEO Executive Scorecard:
silver → sil_order_lines_enriched (fact_sales)
silver → sil_invoice_payment_status (fact_payment_allocation)
staging → stg_mrp_production (fact_manufacturing)
silver → sil_stock_movement_enriched (fact_inventory_movement)
▸ Previous &amp; Actual Sales Trend (Waterfall):
silver → sil_order_lines_enriched (fact_sales)</t>
        </is>
      </c>
      <c r="E3" s="118" t="inlineStr">
        <is>
          <t>▸ CEO Executive Scorecard:
sale_order_line · account_move_line · account_partial_reconcile
mrp_production · stock_move
▸ Previous &amp; Actual Sales Trend (Waterfall):
sale_order_line</t>
        </is>
      </c>
      <c r="F3" s="118" t="inlineStr">
        <is>
          <t>▸ CEO Executive Scorecard:
—
▸ Previous &amp; Actual Sales Trend (Waterfall):
—</t>
        </is>
      </c>
      <c r="G3" s="118" t="inlineStr">
        <is>
          <t>▸ CEO Executive Scorecard:
Debezium → Kafka (sale_order_line, account_move_line, mrp_production, stock_move) → MinIO Bronze → dbt silver/staging → gold facts + marts
▸ Previous &amp; Actual Sales Trend (Waterfall):
Debezium → Kafka (sale_order_line) → MinIO Bronze → dbt → gold.fact_sales → gold.mart_revenue_monthly</t>
        </is>
      </c>
      <c r="H3" s="118" t="inlineStr">
        <is>
          <t>▸ CEO Executive Scorecard:
dim_customer (SCD2) · dim_product (SCD2) · dim_employee (SCD2)
dim_date
▸ Previous &amp; Actual Sales Trend (Waterfall):
dim_date (cần cả PY và AC trong cùng dim)
dim_product (SCD2) · dim_customer (SCD2 — cho region)</t>
        </is>
      </c>
    </row>
    <row r="4" ht="220" customHeight="1" s="98">
      <c r="A4" s="126" t="inlineStr">
        <is>
          <t>RPT-02</t>
        </is>
      </c>
      <c r="B4" s="119">
        <f>'4️⃣ Dashboard Blueprint'!B4</f>
        <v/>
      </c>
      <c r="C4" s="119" t="inlineStr">
        <is>
          <t>▸ Finance P&amp;L Dashboard:
mart_pnl_monthly ✅ (report_line × month; SOURCE: fact_journal_entries JOIN dim_account)
▸ Cash Flow Dashboard:
⚠️ Không có mart Cash Flow Statement — không có fact bank statement nào trong 37 bảng.
JOIN: fact_payment_allocation + fact_journal_entries JOIN dim_journal
▸ Balance Sheet Dashboard:
⚠️ Không có mart Balance Sheet.
JOIN: fact_journal_entries (SUM balance_amount) JOIN dim_account tại 1 ngày
▸ IBCS Column Chart — 3 Scenarios:
mart_pnl_monthly ✅ — chỉ đáp ứng AC &amp; PY
⚠️ Scenario PL KHÔNG có nguồn — không tồn tại bảng ngân sách nào trong 37 bảng ERD</t>
        </is>
      </c>
      <c r="D4" s="119" t="inlineStr">
        <is>
          <t>▸ Finance P&amp;L Dashboard:
fact_journal_entries (account_move_line_id — ERD chưa ghi rõ silver model)
dim_account: staging → stg_account_account
dim_journal: staging → stg_account_journal
▸ Cash Flow Dashboard:
silver → sil_invoice_payment_status (fact_payment_allocation)
fact_journal_entries + dim_journal (staging → stg_account_journal)
▸ Balance Sheet Dashboard:
fact_journal_entries + dim_account (staging → stg_account_account)
▸ IBCS Column Chart — 3 Scenarios:
fact_journal_entries + dim_account (staging → stg_account_account)</t>
        </is>
      </c>
      <c r="E4" s="119" t="inlineStr">
        <is>
          <t>▸ Finance P&amp;L Dashboard:
account_move · account_move_line
account_account · account_journal
▸ Cash Flow Dashboard:
account_payment · account_partial_reconcile
account_move · account_journal
▸ Balance Sheet Dashboard:
account_move · account_move_line
account_account
▸ IBCS Column Chart — 3 Scenarios:
account_move · account_move_line · account_account</t>
        </is>
      </c>
      <c r="F4" s="119" t="inlineStr">
        <is>
          <t>▸ Finance P&amp;L Dashboard:
—
▸ Cash Flow Dashboard:
—
▸ Balance Sheet Dashboard:
—
▸ IBCS Column Chart — 3 Scenarios:
Budget file Excel/CSV (chưa ingest — cần bổ sung nếu muốn scenario PL)</t>
        </is>
      </c>
      <c r="G4" s="119" t="inlineStr">
        <is>
          <t>▸ Finance P&amp;L Dashboard:
Debezium → Kafka (account_move, account_move_line, account_account) → MinIO Bronze → dbt → gold.fact_journal_entries → gold.mart_pnl_monthly
▸ Cash Flow Dashboard:
Debezium → Kafka (account_payment, account_move) → MinIO Bronze → dbt
▸ Balance Sheet Dashboard:
Debezium → Kafka (account_move, account_move_line) → MinIO Bronze → dbt
▸ IBCS Column Chart — 3 Scenarios:
Debezium → Kafka (account_move, account_move_line) → MinIO Bronze → dbt → gold.mart_pnl_monthly</t>
        </is>
      </c>
      <c r="H4" s="119" t="inlineStr">
        <is>
          <t>▸ Finance P&amp;L Dashboard:
dim_date
dim_account (static, KHÔNG SCD2 — domain-specific dim riêng cho fact_journal_entries)
▸ Cash Flow Dashboard:
dim_date
▸ Balance Sheet Dashboard:
dim_date
dim_account (static, KHÔNG SCD2)
▸ IBCS Column Chart — 3 Scenarios:
dim_date
⚠️ dim_account (static)</t>
        </is>
      </c>
    </row>
    <row r="5" ht="119" customHeight="1" s="98">
      <c r="A5" s="124" t="inlineStr">
        <is>
          <t>RPT-03</t>
        </is>
      </c>
      <c r="B5" s="118">
        <f>'4️⃣ Dashboard Blueprint'!B5</f>
        <v/>
      </c>
      <c r="C5" s="118" t="inlineStr">
        <is>
          <t>▸ AR Aging Dashboard:
mart_ar_aging ✅ (customer × snapshot_date, bucket 0-30/31-60/61-90/&gt;90)
▸ AP Aging &amp; P2P Dashboard:
mart_vendor_performance ✅ chỉ có fill_rate/late_count/po_count (P2P)
⚠️ KHÔNG có mart AP Aging (bucket nợ NCC)</t>
        </is>
      </c>
      <c r="D5" s="118" t="inlineStr">
        <is>
          <t>▸ AR Aging Dashboard:
silver → sil_invoice_payment_status (fact_payment_allocation)
▸ AP Aging &amp; P2P Dashboard:
staging → stg_purchase_order_line + stg_purchase_order (fact_purchase)</t>
        </is>
      </c>
      <c r="E5" s="118" t="inlineStr">
        <is>
          <t>▸ AR Aging Dashboard:
account_move (out_invoice) · account_payment · account_partial_reconcile
res_partner (customer_rank &gt; 0)
▸ AP Aging &amp; P2P Dashboard:
purchase_order · purchase_order_line
res_partner (supplier_rank &gt; 0, dùng chung dim_customer)</t>
        </is>
      </c>
      <c r="F5" s="118" t="inlineStr">
        <is>
          <t>▸ AR Aging Dashboard:
—
▸ AP Aging &amp; P2P Dashboard:
—</t>
        </is>
      </c>
      <c r="G5" s="118" t="inlineStr">
        <is>
          <t>▸ AR Aging Dashboard:
Debezium → Kafka (account_move, account_payment) → MinIO Bronze → dbt → gold.fact_payment_allocation → gold.mart_ar_aging
▸ AP Aging &amp; P2P Dashboard:
Debezium → Kafka (purchase_order, purchase_order_line) → MinIO Bronze → dbt → gold.fact_purchase → gold.mart_vendor_performance</t>
        </is>
      </c>
      <c r="H5" s="118" t="inlineStr">
        <is>
          <t>▸ AR Aging Dashboard:
dim_customer (SCD2) · dim_date
▸ AP Aging &amp; P2P Dashboard:
dim_customer (SCD2 — vendor không có dim riêng)
dim_date</t>
        </is>
      </c>
    </row>
    <row r="6" ht="119" customHeight="1" s="98">
      <c r="A6" s="126" t="inlineStr">
        <is>
          <t>RPT-04</t>
        </is>
      </c>
      <c r="B6" s="119">
        <f>'4️⃣ Dashboard Blueprint'!B6</f>
        <v/>
      </c>
      <c r="C6" s="119" t="inlineStr">
        <is>
          <t>▸ Sales Performance Dashboard:
fact_sales ✅ + mart_revenue_monthly ✅ (partial) + fact_crm_funnel ✅
(không có mart riêng cho toàn dashboard)
▸ Operation Dashboard:
⚠️ Không có mart grain theo ngày (mart_revenue_monthly chỉ theo THÁNG).
JOIN trực tiếp: fact_sales + dim_date + dim_product + dim_customer</t>
        </is>
      </c>
      <c r="D6" s="119" t="inlineStr">
        <is>
          <t>▸ Sales Performance Dashboard:
silver → sil_order_lines_enriched (fact_sales)
staging → stg_crm_lead (fact_crm_funnel)
▸ Operation Dashboard:
silver → sil_order_lines_enriched (fact_sales)</t>
        </is>
      </c>
      <c r="E6" s="119" t="inlineStr">
        <is>
          <t>▸ Sales Performance Dashboard:
sale_order_line
crm_lead
utm_campaign · utm_medium
▸ Operation Dashboard:
sale_order_line</t>
        </is>
      </c>
      <c r="F6" s="119" t="inlineStr">
        <is>
          <t>▸ Sales Performance Dashboard:
—
▸ Operation Dashboard:
—</t>
        </is>
      </c>
      <c r="G6" s="119" t="inlineStr">
        <is>
          <t>▸ Sales Performance Dashboard:
Debezium → Kafka (sale_order_line, crm_lead) → MinIO Bronze → dbt
▸ Operation Dashboard:
Debezium → Kafka (sale_order_line) → MinIO Bronze → Airflow 02:00AM → dbt → gold.fact_sales</t>
        </is>
      </c>
      <c r="H6" s="119" t="inlineStr">
        <is>
          <t>▸ Sales Performance Dashboard:
dim_customer (SCD2) · dim_product (SCD2) · dim_employee (SCD2 — salesperson)
▸ Operation Dashboard:
dim_date · dim_product (SCD2) · dim_customer (SCD2)</t>
        </is>
      </c>
    </row>
    <row r="7" ht="119" customHeight="1" s="98">
      <c r="A7" s="124" t="inlineStr">
        <is>
          <t>RPT-05</t>
        </is>
      </c>
      <c r="B7" s="118">
        <f>'4️⃣ Dashboard Blueprint'!B7</f>
        <v/>
      </c>
      <c r="C7" s="118" t="inlineStr">
        <is>
          <t>▸ Product Pareto Analysis:
Không có mart riêng. JOIN: fact_sales (revenue_amount) + dim_product
▸ Discount Elasticity &amp; Pareto:
Không có mart riêng. JOIN: fact_sales + dim_product (category_l1/l2/l3)</t>
        </is>
      </c>
      <c r="D7" s="118" t="inlineStr">
        <is>
          <t>▸ Product Pareto Analysis:
silver → sil_order_lines_enriched (fact_sales)
▸ Discount Elasticity &amp; Pareto:
silver → sil_order_lines_enriched (fact_sales)</t>
        </is>
      </c>
      <c r="E7" s="118" t="inlineStr">
        <is>
          <t>▸ Product Pareto Analysis:
sale_order_line
product_product · product_template
▸ Discount Elasticity &amp; Pareto:
sale_order_line
product_product · product_template</t>
        </is>
      </c>
      <c r="F7" s="118" t="inlineStr">
        <is>
          <t>▸ Product Pareto Analysis:
—
▸ Discount Elasticity &amp; Pareto:
—</t>
        </is>
      </c>
      <c r="G7" s="118" t="inlineStr">
        <is>
          <t>▸ Product Pareto Analysis:
Debezium → Kafka (sale_order_line, product_product) → MinIO Bronze → dbt
▸ Discount Elasticity &amp; Pareto:
Debezium → Kafka (sale_order_line, product_product) → MinIO Bronze → dbt → gold.fact_sales</t>
        </is>
      </c>
      <c r="H7" s="118" t="inlineStr">
        <is>
          <t>▸ Product Pareto Analysis:
dim_product (SCD2 — list_price_amount, standard_cost_amount thay đổi)
dim_date
▸ Discount Elasticity &amp; Pareto:
dim_product (SCD2 — cần lịch sử list_price_amount)
dim_date</t>
        </is>
      </c>
    </row>
    <row r="8" ht="119" customHeight="1" s="98">
      <c r="A8" s="126" t="inlineStr">
        <is>
          <t>RPT-06</t>
        </is>
      </c>
      <c r="B8" s="119">
        <f>'4️⃣ Dashboard Blueprint'!B8</f>
        <v/>
      </c>
      <c r="C8" s="119" t="inlineStr">
        <is>
          <t>▸ Customer Segmentation (RFM Overview):
Không có mart RFM score động. dim_customer.rfm_profile chỉ là field TĨNH.
Nếu cần Score thật: JOIN fact_sales + dim_customer + dim_date
▸ Cohort &amp; Sankey:
Không có mart cohort/migration.
JOIN (self-join): fact_sales + dim_customer + dim_date theo customer_sk × order_date_key</t>
        </is>
      </c>
      <c r="D8" s="119" t="inlineStr">
        <is>
          <t>▸ Customer Segmentation (RFM Overview):
silver → sil_customer_enriched (dim_customer.rfm_profile)
silver → sil_order_lines_enriched (fact_sales, nếu tính lại RFM)
▸ Cohort &amp; Sankey:
silver → sil_order_lines_enriched (fact_sales)</t>
        </is>
      </c>
      <c r="E8" s="119" t="inlineStr">
        <is>
          <t>▸ Customer Segmentation (RFM Overview):
res_partner (rfm_profile — field có sẵn)
sale_order_line (nguồn nếu cần tính R/F/M thật)
▸ Cohort &amp; Sankey:
sale_order_line
res_partner</t>
        </is>
      </c>
      <c r="F8" s="119" t="inlineStr">
        <is>
          <t>▸ Customer Segmentation (RFM Overview):
—
▸ Cohort &amp; Sankey:
—</t>
        </is>
      </c>
      <c r="G8" s="119" t="inlineStr">
        <is>
          <t>▸ Customer Segmentation (RFM Overview):
Debezium → Kafka (res_partner, sale_order_line) → MinIO Bronze → dbt snapshot (SCD2)
▸ Cohort &amp; Sankey:
Debezium → Kafka (sale_order_line) → MinIO Bronze → dbt</t>
        </is>
      </c>
      <c r="H8" s="119" t="inlineStr">
        <is>
          <t>▸ Customer Segmentation (RFM Overview):
dim_customer (SCD2 từ res_partner) · dim_date
▸ Cohort &amp; Sankey:
dim_customer (SCD2) · dim_date (generated — cohort calendar)</t>
        </is>
      </c>
    </row>
    <row r="9" ht="44" customHeight="1" s="98">
      <c r="A9" s="124" t="inlineStr">
        <is>
          <t>RPT-07</t>
        </is>
      </c>
      <c r="B9" s="118">
        <f>'4️⃣ Dashboard Blueprint'!B9</f>
        <v/>
      </c>
      <c r="C9" s="118" t="inlineStr">
        <is>
          <t>mart_roas_by_channel ✅ (SOURCE: fact_ad_spend JOIN fact_sales on campaign_sk)</t>
        </is>
      </c>
      <c r="D9" s="118" t="inlineStr">
        <is>
          <t>staging → stg_ad_performance_daily (fact_ad_spend, external CSV)
silver → sil_order_lines_enriched (fact_sales)</t>
        </is>
      </c>
      <c r="E9" s="118" t="inlineStr">
        <is>
          <t>sale_order_line (attribution qua campaign_sk)
utm_campaign · utm_medium</t>
        </is>
      </c>
      <c r="F9" s="118" t="inlineStr">
        <is>
          <t>Ad spend CSV theo ngày — file: stg_ad_performance_daily
(KHÔNG dùng mailing.trace/mass.mailing của Odoo)</t>
        </is>
      </c>
      <c r="G9" s="118" t="inlineStr">
        <is>
          <t>Odoo: Debezium → Kafka (sale_order_line) → MinIO Bronze → dbt
CSV: Manual upload MinIO landing → dbt (join theo campaign_sk + date_key)</t>
        </is>
      </c>
      <c r="H9" s="118" t="inlineStr">
        <is>
          <t>dim_campaign · dim_channel · dim_date</t>
        </is>
      </c>
    </row>
    <row r="10" ht="44" customHeight="1" s="98">
      <c r="A10" s="126" t="inlineStr">
        <is>
          <t>RPT-08</t>
        </is>
      </c>
      <c r="B10" s="119">
        <f>'4️⃣ Dashboard Blueprint'!B10</f>
        <v/>
      </c>
      <c r="C10" s="119" t="inlineStr">
        <is>
          <t>mart_delivery_performance ✅ (warehouse × ship_mode × month) + fact_inventory_balance ✅
⚠️ Không có reorder point/safety stock — không tồn tại bảng orderpoint trong 37 bảng</t>
        </is>
      </c>
      <c r="D10" s="119" t="inlineStr">
        <is>
          <t>silver → sil_stock_movement_enriched (fact_inventory_movement → mart_delivery_performance)
fact_inventory_balance: ⚠️ materialized=incremental</t>
        </is>
      </c>
      <c r="E10" s="119" t="inlineStr">
        <is>
          <t>stock_move · stock_picking (ship_mode)
stock_quant · stock_warehouse · stock_location</t>
        </is>
      </c>
      <c r="F10" s="119" t="inlineStr">
        <is>
          <t>—</t>
        </is>
      </c>
      <c r="G10" s="119" t="inlineStr">
        <is>
          <t>Debezium → Kafka (stock_move, stock_quant) → MinIO Bronze → dbt</t>
        </is>
      </c>
      <c r="H10" s="119" t="inlineStr">
        <is>
          <t>dim_warehouse · dim_location (đều static)
dim_product (SCD2)</t>
        </is>
      </c>
    </row>
    <row r="11" ht="59" customHeight="1" s="98">
      <c r="A11" s="124" t="inlineStr">
        <is>
          <t>RPT-09</t>
        </is>
      </c>
      <c r="B11" s="118">
        <f>'4️⃣ Dashboard Blueprint'!B11</f>
        <v/>
      </c>
      <c r="C11" s="118" t="inlineStr">
        <is>
          <t>mart_oee_by_workcenter_monthly ✅ + fact_workorder ✅
⚠️ Không có mart Plan Attainment/Downtime Pareto riêng</t>
        </is>
      </c>
      <c r="D11" s="118" t="inlineStr">
        <is>
          <t>staging → stg_mrp_workcenter_productivity (fact_manufacturing_oee)
staging → stg_mrp_production + stock_scrap (fact_manufacturing)
silver → sil_workorder_enriched (fact_workorder)</t>
        </is>
      </c>
      <c r="E11" s="118" t="inlineStr">
        <is>
          <t>mrp_workcenter_productivity
mrp_production · stock_scrap
mrp_workorder</t>
        </is>
      </c>
      <c r="F11" s="118" t="inlineStr">
        <is>
          <t>—</t>
        </is>
      </c>
      <c r="G11" s="118" t="inlineStr">
        <is>
          <t>Debezium → Kafka (mrp_workcenter_productivity, mrp_production, mrp_workorder) → MinIO Bronze → dbt</t>
        </is>
      </c>
      <c r="H11" s="118" t="inlineStr">
        <is>
          <t>dim_workcenter (static)
dim_product (SCD2)</t>
        </is>
      </c>
    </row>
    <row r="12" ht="44" customHeight="1" s="98">
      <c r="A12" s="126" t="inlineStr">
        <is>
          <t>RPT-10</t>
        </is>
      </c>
      <c r="B12" s="119">
        <f>'4️⃣ Dashboard Blueprint'!B12</f>
        <v/>
      </c>
      <c r="C12" s="119" t="inlineStr">
        <is>
          <t>Không có fact/mart HR — CHỈ có dim_employee ✅ (SCD2 từ hr_contract)</t>
        </is>
      </c>
      <c r="D12" s="119" t="inlineStr">
        <is>
          <t>silver → sil_employee_enriched (snap_hr_contract)
+ stg_res_users (map user_id → employee_id)</t>
        </is>
      </c>
      <c r="E12" s="119" t="inlineStr">
        <is>
          <t>hr_employee · hr_contract
res_users</t>
        </is>
      </c>
      <c r="F12" s="119" t="inlineStr">
        <is>
          <t>—</t>
        </is>
      </c>
      <c r="G12" s="119" t="inlineStr">
        <is>
          <t>Debezium → Kafka (hr_employee, hr_contract) → MinIO Bronze → dbt snapshot (SCD2)</t>
        </is>
      </c>
      <c r="H12" s="119" t="inlineStr">
        <is>
          <t>⭐ dim_employee = SCD2 tự nhiên (hr_contract history = lịch sử lương/phòng ban)</t>
        </is>
      </c>
    </row>
    <row r="13" ht="59" customHeight="1" s="98">
      <c r="A13" s="124" t="inlineStr">
        <is>
          <t>RPT-11</t>
        </is>
      </c>
      <c r="B13" s="118">
        <f>'4️⃣ Dashboard Blueprint'!B13</f>
        <v/>
      </c>
      <c r="C13" s="118" t="inlineStr">
        <is>
          <t>Không nằm trong 37 bảng của star-schema-da.html — ops/infra monitoring, ngoài phạm vi star schema</t>
        </is>
      </c>
      <c r="D13" s="118" t="inlineStr">
        <is>
          <t>— (không dùng staging Odoo)</t>
        </is>
      </c>
      <c r="E13" s="118" t="inlineStr">
        <is>
          <t>— (không dùng Odoo source tables)</t>
        </is>
      </c>
      <c r="F13" s="118" t="inlineStr">
        <is>
          <t>Airflow metadata DB (dag_run, task_instance)
dbt artifacts (manifest.json, run_results.json)
Kafka Consumer Group Lag</t>
        </is>
      </c>
      <c r="G13" s="118" t="inlineStr">
        <is>
          <t>KHÔNG dùng Debezium CDC — infra data → ingest thẳng vào MinIO landing → dbt staging</t>
        </is>
      </c>
      <c r="H13" s="118" t="inlineStr">
        <is>
          <t>⭐ Không cần SCD2 (ops log — append only)
dim_date (generated)</t>
        </is>
      </c>
    </row>
    <row r="14" ht="70" customHeight="1" s="98"/>
    <row r="15" ht="70" customHeight="1" s="98"/>
    <row r="16" ht="74" customHeight="1" s="98"/>
    <row r="17" ht="74" customHeight="1" s="98"/>
    <row r="18" ht="74" customHeight="1" s="98"/>
    <row r="19" ht="110" customHeight="1" s="98"/>
    <row r="20" ht="74" customHeight="1" s="98"/>
    <row r="21" ht="74" customHeight="1" s="98"/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2026-07-16T04:30:19Z</dcterms:created>
  <dcterms:modified xmlns:dcterms="http://purl.org/dc/terms/" xmlns:xsi="http://www.w3.org/2001/XMLSchema-instance" xsi:type="dcterms:W3CDTF">2026-07-28T01:21:25Z</dcterms:modified>
  <cp:lastModifiedBy>phu vo</cp:lastModifiedBy>
  <cp:revision>0</cp:revision>
</cp:coreProperties>
</file>